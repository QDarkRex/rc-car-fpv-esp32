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ToDo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Komponen" sheetId="4" state="visible" r:id="rId4"/>
    <sheet xmlns:r="http://schemas.openxmlformats.org/officeDocument/2006/relationships" name="Risiko" sheetId="5" state="visible" r:id="rId5"/>
  </sheets>
  <definedNames>
    <definedName name="_xlnm._FilterDatabase" localSheetId="1" hidden="1">'ToDo'!$A$4:$J$74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0.0;;&quot;&quot;"/>
    <numFmt numFmtId="167" formatCode="#,##0;;-"/>
  </numFmts>
  <fonts count="8">
    <font>
      <name val="Calibri"/>
      <family val="2"/>
      <color theme="1"/>
      <sz val="11"/>
      <scheme val="minor"/>
    </font>
    <font>
      <name val="Arial"/>
      <b val="1"/>
      <color rgb="001F2430"/>
      <sz val="15"/>
    </font>
    <font>
      <name val="Arial"/>
      <i val="1"/>
      <color rgb="005A6472"/>
      <sz val="9.5"/>
    </font>
    <font>
      <name val="Arial"/>
      <b val="1"/>
      <color rgb="00FFFFFF"/>
      <sz val="10"/>
    </font>
    <font>
      <name val="Arial"/>
      <color rgb="001F2430"/>
      <sz val="10"/>
    </font>
    <font>
      <name val="Arial"/>
      <b val="1"/>
      <color rgb="001F2430"/>
      <sz val="10"/>
    </font>
    <font>
      <name val="Arial"/>
      <color rgb="000000FF"/>
      <sz val="10"/>
    </font>
    <font>
      <name val="Arial"/>
      <b val="1"/>
      <color rgb="001F2430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DCE3F0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1" pivotButton="0" quotePrefix="0" xfId="0"/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5" fillId="5" borderId="1" pivotButton="0" quotePrefix="0" xfId="0"/>
    <xf numFmtId="164" fontId="5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/>
    </xf>
    <xf numFmtId="164" fontId="5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167" fontId="6" fillId="4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7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name val="Arial"/>
        <color rgb="00006100"/>
        <sz val="10"/>
      </font>
      <fill>
        <patternFill patternType="solid">
          <fgColor rgb="00C6EFCE"/>
        </patternFill>
      </fill>
    </dxf>
    <dxf>
      <font>
        <name val="Arial"/>
        <color rgb="009C5700"/>
        <sz val="10"/>
      </font>
      <fill>
        <patternFill patternType="solid">
          <fgColor rgb="00FFEB9C"/>
        </patternFill>
      </fill>
    </dxf>
    <dxf>
      <fill>
        <patternFill patternType="solid">
          <fgColor rgb="00BDD7EE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  <dxf>
      <font>
        <name val="Arial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Ringkasan Rencana Kerja</t>
        </is>
      </c>
    </row>
    <row r="2">
      <c r="A2" s="2" t="inlineStr">
        <is>
          <t>Semua angka di sheet ini dihitung otomatis dari sheet ToDo. Jangan diketik manual.</t>
        </is>
      </c>
    </row>
    <row r="4">
      <c r="A4" s="3" t="inlineStr">
        <is>
          <t>Total tugas</t>
        </is>
      </c>
      <c r="B4" s="4">
        <f>COUNTA(ToDo!A5:A74)</f>
        <v/>
      </c>
    </row>
    <row r="5">
      <c r="A5" s="3" t="inlineStr">
        <is>
          <t>Selesai</t>
        </is>
      </c>
      <c r="B5" s="4">
        <f>COUNTIF(ToDo!I5:I74,"Selesai")</f>
        <v/>
      </c>
    </row>
    <row r="6">
      <c r="A6" s="3" t="inlineStr">
        <is>
          <t>Sedang jalan</t>
        </is>
      </c>
      <c r="B6" s="4">
        <f>COUNTIF(ToDo!I5:I74,"Sedang jalan")</f>
        <v/>
      </c>
    </row>
    <row r="7">
      <c r="A7" s="3" t="inlineStr">
        <is>
          <t>Belum</t>
        </is>
      </c>
      <c r="B7" s="4">
        <f>COUNTIF(ToDo!I5:I74,"Belum")</f>
        <v/>
      </c>
    </row>
    <row r="8">
      <c r="A8" s="3" t="inlineStr">
        <is>
          <t>Progres</t>
        </is>
      </c>
      <c r="B8" s="5">
        <f>IFERROR(B5/B4,0)</f>
        <v/>
      </c>
    </row>
    <row r="9">
      <c r="A9" s="3" t="inlineStr">
        <is>
          <t>Total estimasi (jam)</t>
        </is>
      </c>
      <c r="B9" s="6">
        <f>SUM(ToDo!E5:E74)</f>
        <v/>
      </c>
    </row>
    <row r="10">
      <c r="A10" s="3" t="inlineStr">
        <is>
          <t>Jam tersisa</t>
        </is>
      </c>
      <c r="B10" s="6">
        <f>SUMIF(ToDo!I5:I74,"Belum",ToDo!E5:E74)</f>
        <v/>
      </c>
    </row>
    <row r="11">
      <c r="A11" s="3" t="inlineStr">
        <is>
          <t>Perkiraan hari kerja tersisa</t>
        </is>
      </c>
      <c r="B11" s="6">
        <f>IFERROR(B10/B12,0)</f>
        <v/>
      </c>
    </row>
    <row r="12">
      <c r="A12" s="3" t="inlineStr">
        <is>
          <t>Jam kerja per hari (isi sendiri)</t>
        </is>
      </c>
      <c r="B12" s="7" t="n">
        <v>4</v>
      </c>
      <c r="C12" s="2" t="inlineStr">
        <is>
          <t>&lt;- ubah angka ini; sel kuning = input</t>
        </is>
      </c>
    </row>
    <row r="13">
      <c r="A13" s="8" t="inlineStr">
        <is>
          <t>TARGET 3 HARI (Fase 1-5)</t>
        </is>
      </c>
      <c r="B13" s="9">
        <f>SUMIFS(ToDo!$E$5:$E$74,ToDo!$F$5:$F$74,"D1")+SUMIFS(ToDo!$E$5:$E$74,ToDo!$F$5:$F$74,"D2")+SUMIFS(ToDo!$E$5:$E$74,ToDo!$F$5:$F$74,"D3")</f>
        <v/>
      </c>
      <c r="C13" s="2" t="inlineStr">
        <is>
          <t>jam - rata-rata dibagi 3 hari</t>
        </is>
      </c>
    </row>
    <row r="14">
      <c r="A14" s="3" t="inlineStr">
        <is>
          <t>Sisanya (Fase 6-7, Lanjutan)</t>
        </is>
      </c>
      <c r="B14" s="6">
        <f>SUMIFS(ToDo!$E$5:$E$74,ToDo!$F$5:$F$74,"Lanjutan")</f>
        <v/>
      </c>
      <c r="C14" s="2" t="inlineStr">
        <is>
          <t>jam - finalisasi &amp; duplikasi, di luar target 3 hari</t>
        </is>
      </c>
    </row>
    <row r="16">
      <c r="A16" s="10" t="inlineStr">
        <is>
          <t>Rincian per Fase</t>
        </is>
      </c>
    </row>
    <row r="17">
      <c r="A17" s="11" t="inlineStr">
        <is>
          <t>Fase</t>
        </is>
      </c>
      <c r="B17" s="11" t="inlineStr">
        <is>
          <t>Tugas</t>
        </is>
      </c>
      <c r="C17" s="11" t="inlineStr">
        <is>
          <t>Selesai</t>
        </is>
      </c>
      <c r="D17" s="11" t="inlineStr">
        <is>
          <t>Progres</t>
        </is>
      </c>
      <c r="E17" s="11" t="inlineStr">
        <is>
          <t>Jam</t>
        </is>
      </c>
      <c r="F17" s="11" t="inlineStr">
        <is>
          <t>Jam Tersisa</t>
        </is>
      </c>
      <c r="G17" s="11" t="inlineStr">
        <is>
          <t>Gate</t>
        </is>
      </c>
    </row>
    <row r="18">
      <c r="A18" s="12" t="inlineStr">
        <is>
          <t>Fase 0 - Verifikasi Meja</t>
        </is>
      </c>
      <c r="B18" s="4">
        <f>COUNTIF(ToDo!$B$5:$B$74,$A18)</f>
        <v/>
      </c>
      <c r="C18" s="4">
        <f>COUNTIFS(ToDo!$B$5:$B$74,$A18,ToDo!$I$5:$I$74,"Selesai")</f>
        <v/>
      </c>
      <c r="D18" s="5">
        <f>IFERROR(C18/B18,0)</f>
        <v/>
      </c>
      <c r="E18" s="6">
        <f>SUMIF(ToDo!$B$5:$B$74,$A18,ToDo!$E$5:$E$74)</f>
        <v/>
      </c>
      <c r="F18" s="6">
        <f>SUMIFS(ToDo!$E$5:$E$74,ToDo!$B$5:$B$74,$A18,ToDo!$I$5:$I$74,"Belum")</f>
        <v/>
      </c>
      <c r="G18" s="4">
        <f>COUNTIFS(ToDo!$B$5:$B$74,$A18,ToDo!$H$5:$H$74,"Ya")</f>
        <v/>
      </c>
    </row>
    <row r="19">
      <c r="A19" s="12" t="inlineStr">
        <is>
          <t>Fase 1 - Wiring &amp; Daya</t>
        </is>
      </c>
      <c r="B19" s="4">
        <f>COUNTIF(ToDo!$B$5:$B$74,$A19)</f>
        <v/>
      </c>
      <c r="C19" s="4">
        <f>COUNTIFS(ToDo!$B$5:$B$74,$A19,ToDo!$I$5:$I$74,"Selesai")</f>
        <v/>
      </c>
      <c r="D19" s="5">
        <f>IFERROR(C19/B19,0)</f>
        <v/>
      </c>
      <c r="E19" s="6">
        <f>SUMIF(ToDo!$B$5:$B$74,$A19,ToDo!$E$5:$E$74)</f>
        <v/>
      </c>
      <c r="F19" s="6">
        <f>SUMIFS(ToDo!$E$5:$E$74,ToDo!$B$5:$B$74,$A19,ToDo!$I$5:$I$74,"Belum")</f>
        <v/>
      </c>
      <c r="G19" s="4">
        <f>COUNTIFS(ToDo!$B$5:$B$74,$A19,ToDo!$H$5:$H$74,"Ya")</f>
        <v/>
      </c>
    </row>
    <row r="20">
      <c r="A20" s="12" t="inlineStr">
        <is>
          <t>Fase 2 - Flash &amp; Bench</t>
        </is>
      </c>
      <c r="B20" s="4">
        <f>COUNTIF(ToDo!$B$5:$B$74,$A20)</f>
        <v/>
      </c>
      <c r="C20" s="4">
        <f>COUNTIFS(ToDo!$B$5:$B$74,$A20,ToDo!$I$5:$I$74,"Selesai")</f>
        <v/>
      </c>
      <c r="D20" s="5">
        <f>IFERROR(C20/B20,0)</f>
        <v/>
      </c>
      <c r="E20" s="6">
        <f>SUMIF(ToDo!$B$5:$B$74,$A20,ToDo!$E$5:$E$74)</f>
        <v/>
      </c>
      <c r="F20" s="6">
        <f>SUMIFS(ToDo!$E$5:$E$74,ToDo!$B$5:$B$74,$A20,ToDo!$I$5:$I$74,"Belum")</f>
        <v/>
      </c>
      <c r="G20" s="4">
        <f>COUNTIFS(ToDo!$B$5:$B$74,$A20,ToDo!$H$5:$H$74,"Ya")</f>
        <v/>
      </c>
    </row>
    <row r="21">
      <c r="A21" s="12" t="inlineStr">
        <is>
          <t>Fase 3 - Failsafe &amp; Integrasi</t>
        </is>
      </c>
      <c r="B21" s="4">
        <f>COUNTIF(ToDo!$B$5:$B$74,$A21)</f>
        <v/>
      </c>
      <c r="C21" s="4">
        <f>COUNTIFS(ToDo!$B$5:$B$74,$A21,ToDo!$I$5:$I$74,"Selesai")</f>
        <v/>
      </c>
      <c r="D21" s="5">
        <f>IFERROR(C21/B21,0)</f>
        <v/>
      </c>
      <c r="E21" s="6">
        <f>SUMIF(ToDo!$B$5:$B$74,$A21,ToDo!$E$5:$E$74)</f>
        <v/>
      </c>
      <c r="F21" s="6">
        <f>SUMIFS(ToDo!$E$5:$E$74,ToDo!$B$5:$B$74,$A21,ToDo!$I$5:$I$74,"Belum")</f>
        <v/>
      </c>
      <c r="G21" s="4">
        <f>COUNTIFS(ToDo!$B$5:$B$74,$A21,ToDo!$H$5:$H$74,"Ya")</f>
        <v/>
      </c>
    </row>
    <row r="22">
      <c r="A22" s="12" t="inlineStr">
        <is>
          <t>Fase 4 - Uji Lantai &amp; Tuning</t>
        </is>
      </c>
      <c r="B22" s="4">
        <f>COUNTIF(ToDo!$B$5:$B$74,$A22)</f>
        <v/>
      </c>
      <c r="C22" s="4">
        <f>COUNTIFS(ToDo!$B$5:$B$74,$A22,ToDo!$I$5:$I$74,"Selesai")</f>
        <v/>
      </c>
      <c r="D22" s="5">
        <f>IFERROR(C22/B22,0)</f>
        <v/>
      </c>
      <c r="E22" s="6">
        <f>SUMIF(ToDo!$B$5:$B$74,$A22,ToDo!$E$5:$E$74)</f>
        <v/>
      </c>
      <c r="F22" s="6">
        <f>SUMIFS(ToDo!$E$5:$E$74,ToDo!$B$5:$B$74,$A22,ToDo!$I$5:$I$74,"Belum")</f>
        <v/>
      </c>
      <c r="G22" s="4">
        <f>COUNTIFS(ToDo!$B$5:$B$74,$A22,ToDo!$H$5:$H$74,"Ya")</f>
        <v/>
      </c>
    </row>
    <row r="23">
      <c r="A23" s="12" t="inlineStr">
        <is>
          <t>Fase 5 - Pindah ke LattePanda</t>
        </is>
      </c>
      <c r="B23" s="4">
        <f>COUNTIF(ToDo!$B$5:$B$74,$A23)</f>
        <v/>
      </c>
      <c r="C23" s="4">
        <f>COUNTIFS(ToDo!$B$5:$B$74,$A23,ToDo!$I$5:$I$74,"Selesai")</f>
        <v/>
      </c>
      <c r="D23" s="5">
        <f>IFERROR(C23/B23,0)</f>
        <v/>
      </c>
      <c r="E23" s="6">
        <f>SUMIF(ToDo!$B$5:$B$74,$A23,ToDo!$E$5:$E$74)</f>
        <v/>
      </c>
      <c r="F23" s="6">
        <f>SUMIFS(ToDo!$E$5:$E$74,ToDo!$B$5:$B$74,$A23,ToDo!$I$5:$I$74,"Belum")</f>
        <v/>
      </c>
      <c r="G23" s="4">
        <f>COUNTIFS(ToDo!$B$5:$B$74,$A23,ToDo!$H$5:$H$74,"Ya")</f>
        <v/>
      </c>
    </row>
    <row r="24">
      <c r="A24" s="12" t="inlineStr">
        <is>
          <t>Fase 6 - Finalisasi</t>
        </is>
      </c>
      <c r="B24" s="4">
        <f>COUNTIF(ToDo!$B$5:$B$74,$A24)</f>
        <v/>
      </c>
      <c r="C24" s="4">
        <f>COUNTIFS(ToDo!$B$5:$B$74,$A24,ToDo!$I$5:$I$74,"Selesai")</f>
        <v/>
      </c>
      <c r="D24" s="5">
        <f>IFERROR(C24/B24,0)</f>
        <v/>
      </c>
      <c r="E24" s="6">
        <f>SUMIF(ToDo!$B$5:$B$74,$A24,ToDo!$E$5:$E$74)</f>
        <v/>
      </c>
      <c r="F24" s="6">
        <f>SUMIFS(ToDo!$E$5:$E$74,ToDo!$B$5:$B$74,$A24,ToDo!$I$5:$I$74,"Belum")</f>
        <v/>
      </c>
      <c r="G24" s="4">
        <f>COUNTIFS(ToDo!$B$5:$B$74,$A24,ToDo!$H$5:$H$74,"Ya")</f>
        <v/>
      </c>
    </row>
    <row r="25">
      <c r="A25" s="12" t="inlineStr">
        <is>
          <t>Fase 7 - Duplikasi &amp; Produksi</t>
        </is>
      </c>
      <c r="B25" s="4">
        <f>COUNTIF(ToDo!$B$5:$B$74,$A25)</f>
        <v/>
      </c>
      <c r="C25" s="4">
        <f>COUNTIFS(ToDo!$B$5:$B$74,$A25,ToDo!$I$5:$I$74,"Selesai")</f>
        <v/>
      </c>
      <c r="D25" s="5">
        <f>IFERROR(C25/B25,0)</f>
        <v/>
      </c>
      <c r="E25" s="6">
        <f>SUMIF(ToDo!$B$5:$B$74,$A25,ToDo!$E$5:$E$74)</f>
        <v/>
      </c>
      <c r="F25" s="6">
        <f>SUMIFS(ToDo!$E$5:$E$74,ToDo!$B$5:$B$74,$A25,ToDo!$I$5:$I$74,"Belum")</f>
        <v/>
      </c>
      <c r="G25" s="4">
        <f>COUNTIFS(ToDo!$B$5:$B$74,$A25,ToDo!$H$5:$H$74,"Ya")</f>
        <v/>
      </c>
    </row>
    <row r="26">
      <c r="A26" s="8" t="inlineStr">
        <is>
          <t>TOTAL</t>
        </is>
      </c>
      <c r="B26" s="13">
        <f>SUM(B18:B25)</f>
        <v/>
      </c>
      <c r="C26" s="13">
        <f>SUM(C18:C25)</f>
        <v/>
      </c>
      <c r="D26" s="14">
        <f>IFERROR(C26/B26,0)</f>
        <v/>
      </c>
      <c r="E26" s="9">
        <f>SUM(E18:E25)</f>
        <v/>
      </c>
      <c r="F26" s="9">
        <f>SUM(F18:F25)</f>
        <v/>
      </c>
      <c r="G26" s="13">
        <f>SUM(G18:G25)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4" customWidth="1" min="3" max="3"/>
    <col width="54" customWidth="1" min="4" max="4"/>
    <col width="7" customWidth="1" min="5" max="5"/>
    <col width="7" customWidth="1" min="6" max="6"/>
    <col width="10" customWidth="1" min="7" max="7"/>
    <col width="7" customWidth="1" min="8" max="8"/>
    <col width="12" customWidth="1" min="9" max="9"/>
    <col width="18" customWidth="1" min="10" max="10"/>
  </cols>
  <sheetData>
    <row r="1">
      <c r="A1" s="1" t="inlineStr">
        <is>
          <t>RC Car FPV - Daftar Tugas &amp; Timeline</t>
        </is>
      </c>
    </row>
    <row r="2" ht="30" customHeight="1">
      <c r="A2" s="15" t="inlineStr">
        <is>
          <t>Kolom Status boleh diubah (Belum / Sedang jalan / Selesai) - seluruh angka di sheet Ringkasan dan Timeline ikut menyesuaikan otomatis. Baris kuning = GATE: jangan lanjut ke fase berikutnya sebelum lolos.</t>
        </is>
      </c>
    </row>
    <row r="4">
      <c r="A4" s="11" t="inlineStr">
        <is>
          <t>ID</t>
        </is>
      </c>
      <c r="B4" s="11" t="inlineStr">
        <is>
          <t>Fase</t>
        </is>
      </c>
      <c r="C4" s="11" t="inlineStr">
        <is>
          <t>Tugas</t>
        </is>
      </c>
      <c r="D4" s="11" t="inlineStr">
        <is>
          <t>Kriteria Sukses / Catatan</t>
        </is>
      </c>
      <c r="E4" s="11" t="inlineStr">
        <is>
          <t>Jam</t>
        </is>
      </c>
      <c r="F4" s="11" t="inlineStr">
        <is>
          <t>Hari</t>
        </is>
      </c>
      <c r="G4" s="11" t="inlineStr">
        <is>
          <t>Prioritas</t>
        </is>
      </c>
      <c r="H4" s="11" t="inlineStr">
        <is>
          <t>Gate</t>
        </is>
      </c>
      <c r="I4" s="11" t="inlineStr">
        <is>
          <t>Status</t>
        </is>
      </c>
      <c r="J4" s="11" t="inlineStr">
        <is>
          <t>Referensi</t>
        </is>
      </c>
    </row>
    <row r="5">
      <c r="A5" s="16" t="inlineStr">
        <is>
          <t>0.1</t>
        </is>
      </c>
      <c r="B5" s="12" t="inlineStr">
        <is>
          <t>Fase 0 - Verifikasi Meja</t>
        </is>
      </c>
      <c r="C5" s="12" t="inlineStr">
        <is>
          <t>Ground station Python + simulator</t>
        </is>
      </c>
      <c r="D5" s="12" t="inlineStr">
        <is>
          <t>95 uji otomatis lulus (protokol, kurva, config, MJPEG)</t>
        </is>
      </c>
      <c r="E5" s="6" t="n">
        <v>0</v>
      </c>
      <c r="F5" s="16" t="inlineStr">
        <is>
          <t>D0</t>
        </is>
      </c>
      <c r="G5" s="16" t="inlineStr">
        <is>
          <t>Kritis</t>
        </is>
      </c>
      <c r="H5" s="16" t="inlineStr">
        <is>
          <t>Tidak</t>
        </is>
      </c>
      <c r="I5" s="16" t="inlineStr">
        <is>
          <t>Selesai</t>
        </is>
      </c>
      <c r="J5" s="12" t="inlineStr">
        <is>
          <t>README.md</t>
        </is>
      </c>
    </row>
    <row r="6">
      <c r="A6" s="16" t="inlineStr">
        <is>
          <t>0.2</t>
        </is>
      </c>
      <c r="B6" s="12" t="inlineStr">
        <is>
          <t>Fase 0 - Verifikasi Meja</t>
        </is>
      </c>
      <c r="C6" s="12" t="inlineStr">
        <is>
          <t>Protokol v2 + byte rem</t>
        </is>
      </c>
      <c r="D6" s="12" t="inlineStr">
        <is>
          <t>protocol.h / protocol.py / protocol.md kembar, paket 12 byte</t>
        </is>
      </c>
      <c r="E6" s="6" t="n">
        <v>0</v>
      </c>
      <c r="F6" s="16" t="inlineStr">
        <is>
          <t>D0</t>
        </is>
      </c>
      <c r="G6" s="16" t="inlineStr">
        <is>
          <t>Kritis</t>
        </is>
      </c>
      <c r="H6" s="16" t="inlineStr">
        <is>
          <t>Tidak</t>
        </is>
      </c>
      <c r="I6" s="16" t="inlineStr">
        <is>
          <t>Selesai</t>
        </is>
      </c>
      <c r="J6" s="12" t="inlineStr">
        <is>
          <t>docs/protocol.md</t>
        </is>
      </c>
    </row>
    <row r="7">
      <c r="A7" s="16" t="inlineStr">
        <is>
          <t>0.3</t>
        </is>
      </c>
      <c r="B7" s="12" t="inlineStr">
        <is>
          <t>Fase 0 - Verifikasi Meja</t>
        </is>
      </c>
      <c r="C7" s="12" t="inlineStr">
        <is>
          <t>Kalibrasi stir PXN V9 (V9GEN2)</t>
        </is>
      </c>
      <c r="D7" s="12" t="inlineStr">
        <is>
          <t>calibration.yaml: h_pattern, gigi 1-6 di btn 16-21, R di btn 22</t>
        </is>
      </c>
      <c r="E7" s="6" t="n">
        <v>0</v>
      </c>
      <c r="F7" s="16" t="inlineStr">
        <is>
          <t>D0</t>
        </is>
      </c>
      <c r="G7" s="16" t="inlineStr">
        <is>
          <t>Kritis</t>
        </is>
      </c>
      <c r="H7" s="16" t="inlineStr">
        <is>
          <t>Tidak</t>
        </is>
      </c>
      <c r="I7" s="16" t="inlineStr">
        <is>
          <t>Selesai</t>
        </is>
      </c>
      <c r="J7" s="12" t="inlineStr">
        <is>
          <t>ground/calibration.yaml</t>
        </is>
      </c>
    </row>
    <row r="8">
      <c r="A8" s="16" t="inlineStr">
        <is>
          <t>0.4</t>
        </is>
      </c>
      <c r="B8" s="12" t="inlineStr">
        <is>
          <t>Fase 0 - Verifikasi Meja</t>
        </is>
      </c>
      <c r="C8" s="12" t="inlineStr">
        <is>
          <t>Port kamera ke XIAO ESP32S3 Sense</t>
        </is>
      </c>
      <c r="D8" s="12" t="inlineStr">
        <is>
          <t>16/16 pin cocok definisi resmi core; kompilasi 28% flash</t>
        </is>
      </c>
      <c r="E8" s="6" t="n">
        <v>0</v>
      </c>
      <c r="F8" s="16" t="inlineStr">
        <is>
          <t>D0</t>
        </is>
      </c>
      <c r="G8" s="16" t="inlineStr">
        <is>
          <t>Kritis</t>
        </is>
      </c>
      <c r="H8" s="16" t="inlineStr">
        <is>
          <t>Tidak</t>
        </is>
      </c>
      <c r="I8" s="16" t="inlineStr">
        <is>
          <t>Selesai</t>
        </is>
      </c>
      <c r="J8" s="12" t="inlineStr">
        <is>
          <t>firmware/rc_cam_esp32</t>
        </is>
      </c>
    </row>
    <row r="9">
      <c r="A9" s="16" t="inlineStr">
        <is>
          <t>0.5</t>
        </is>
      </c>
      <c r="B9" s="12" t="inlineStr">
        <is>
          <t>Fase 0 - Verifikasi Meja</t>
        </is>
      </c>
      <c r="C9" s="12" t="inlineStr">
        <is>
          <t>Isi kredensial WiFi kedua firmware</t>
        </is>
      </c>
      <c r="D9" s="12" t="inlineStr">
        <is>
          <t>SSID RCCar terisi di config.h dan rc_cam_esp32.ino</t>
        </is>
      </c>
      <c r="E9" s="6" t="n">
        <v>0</v>
      </c>
      <c r="F9" s="16" t="inlineStr">
        <is>
          <t>D0</t>
        </is>
      </c>
      <c r="G9" s="16" t="inlineStr">
        <is>
          <t>Kritis</t>
        </is>
      </c>
      <c r="H9" s="16" t="inlineStr">
        <is>
          <t>Tidak</t>
        </is>
      </c>
      <c r="I9" s="16" t="inlineStr">
        <is>
          <t>Selesai</t>
        </is>
      </c>
      <c r="J9" s="12" t="inlineStr">
        <is>
          <t>firmware/</t>
        </is>
      </c>
    </row>
    <row r="10">
      <c r="A10" s="16" t="inlineStr">
        <is>
          <t>1.1</t>
        </is>
      </c>
      <c r="B10" s="12" t="inlineStr">
        <is>
          <t>Fase 1 - Wiring &amp; Daya</t>
        </is>
      </c>
      <c r="C10" s="12" t="inlineStr">
        <is>
          <t>Setel step-down #1 ke 12,0 V TANPA beban</t>
        </is>
      </c>
      <c r="D10" s="12" t="inlineStr">
        <is>
          <t>Multimeter baca 12,0 +/- 0,1 V sebelum disambung ke apa pun</t>
        </is>
      </c>
      <c r="E10" s="6" t="n">
        <v>0.5</v>
      </c>
      <c r="F10" s="16" t="inlineStr">
        <is>
          <t>D1</t>
        </is>
      </c>
      <c r="G10" s="16" t="inlineStr">
        <is>
          <t>Kritis</t>
        </is>
      </c>
      <c r="H10" s="16" t="inlineStr">
        <is>
          <t>Tidak</t>
        </is>
      </c>
      <c r="I10" s="16" t="inlineStr">
        <is>
          <t>Belum</t>
        </is>
      </c>
      <c r="J10" s="12" t="inlineStr">
        <is>
          <t>wiring 2</t>
        </is>
      </c>
    </row>
    <row r="11">
      <c r="A11" s="16" t="inlineStr">
        <is>
          <t>1.2</t>
        </is>
      </c>
      <c r="B11" s="12" t="inlineStr">
        <is>
          <t>Fase 1 - Wiring &amp; Daya</t>
        </is>
      </c>
      <c r="C11" s="12" t="inlineStr">
        <is>
          <t>Setel step-down #2 ke 5,0 V TANPA beban</t>
        </is>
      </c>
      <c r="D11" s="12" t="inlineStr">
        <is>
          <t>Multimeter baca 5,0 +/- 0,05 V sebelum disambung ke apa pun</t>
        </is>
      </c>
      <c r="E11" s="6" t="n">
        <v>0.5</v>
      </c>
      <c r="F11" s="16" t="inlineStr">
        <is>
          <t>D1</t>
        </is>
      </c>
      <c r="G11" s="16" t="inlineStr">
        <is>
          <t>Kritis</t>
        </is>
      </c>
      <c r="H11" s="16" t="inlineStr">
        <is>
          <t>Tidak</t>
        </is>
      </c>
      <c r="I11" s="16" t="inlineStr">
        <is>
          <t>Belum</t>
        </is>
      </c>
      <c r="J11" s="12" t="inlineStr">
        <is>
          <t>wiring 2</t>
        </is>
      </c>
    </row>
    <row r="12">
      <c r="A12" s="16" t="inlineStr">
        <is>
          <t>1.3</t>
        </is>
      </c>
      <c r="B12" s="12" t="inlineStr">
        <is>
          <t>Fase 1 - Wiring &amp; Daya</t>
        </is>
      </c>
      <c r="C12" s="12" t="inlineStr">
        <is>
          <t>Lepas jumper ENA di L298N</t>
        </is>
      </c>
      <c r="D12" s="12" t="inlineStr">
        <is>
          <t>Jumper fisik terlepas. Kalau tidak, PWM tidak berefek sama sekali</t>
        </is>
      </c>
      <c r="E12" s="6" t="n">
        <v>0.2</v>
      </c>
      <c r="F12" s="16" t="inlineStr">
        <is>
          <t>D1</t>
        </is>
      </c>
      <c r="G12" s="16" t="inlineStr">
        <is>
          <t>Kritis</t>
        </is>
      </c>
      <c r="H12" s="16" t="inlineStr">
        <is>
          <t>Tidak</t>
        </is>
      </c>
      <c r="I12" s="16" t="inlineStr">
        <is>
          <t>Belum</t>
        </is>
      </c>
      <c r="J12" s="12" t="inlineStr">
        <is>
          <t>wiring 4</t>
        </is>
      </c>
    </row>
    <row r="13">
      <c r="A13" s="16" t="inlineStr">
        <is>
          <t>1.4</t>
        </is>
      </c>
      <c r="B13" s="12" t="inlineStr">
        <is>
          <t>Fase 1 - Wiring &amp; Daya</t>
        </is>
      </c>
      <c r="C13" s="12" t="inlineStr">
        <is>
          <t>Lepas jumper 5V di L298N</t>
        </is>
      </c>
      <c r="D13" s="12" t="inlineStr">
        <is>
          <t>Regulator on-board mati; 5V hanya dari step-down #2</t>
        </is>
      </c>
      <c r="E13" s="6" t="n">
        <v>0.2</v>
      </c>
      <c r="F13" s="16" t="inlineStr">
        <is>
          <t>D1</t>
        </is>
      </c>
      <c r="G13" s="16" t="inlineStr">
        <is>
          <t>Kritis</t>
        </is>
      </c>
      <c r="H13" s="16" t="inlineStr">
        <is>
          <t>Tidak</t>
        </is>
      </c>
      <c r="I13" s="16" t="inlineStr">
        <is>
          <t>Belum</t>
        </is>
      </c>
      <c r="J13" s="12" t="inlineStr">
        <is>
          <t>wiring 4</t>
        </is>
      </c>
    </row>
    <row r="14">
      <c r="A14" s="16" t="inlineStr">
        <is>
          <t>1.5</t>
        </is>
      </c>
      <c r="B14" s="12" t="inlineStr">
        <is>
          <t>Fase 1 - Wiring &amp; Daya</t>
        </is>
      </c>
      <c r="C14" s="12" t="inlineStr">
        <is>
          <t>Pindah sinyal servo GPIO 34 -&gt; GPIO 13</t>
        </is>
      </c>
      <c r="D14" s="12" t="inlineStr">
        <is>
          <t>GPIO 34 input-only, tidak bisa mengeluarkan pulsa servo</t>
        </is>
      </c>
      <c r="E14" s="6" t="n">
        <v>0.2</v>
      </c>
      <c r="F14" s="16" t="inlineStr">
        <is>
          <t>D1</t>
        </is>
      </c>
      <c r="G14" s="16" t="inlineStr">
        <is>
          <t>Kritis</t>
        </is>
      </c>
      <c r="H14" s="16" t="inlineStr">
        <is>
          <t>Tidak</t>
        </is>
      </c>
      <c r="I14" s="16" t="inlineStr">
        <is>
          <t>Belum</t>
        </is>
      </c>
      <c r="J14" s="12" t="inlineStr">
        <is>
          <t>wiring 3</t>
        </is>
      </c>
    </row>
    <row r="15">
      <c r="A15" s="16" t="inlineStr">
        <is>
          <t>1.6</t>
        </is>
      </c>
      <c r="B15" s="12" t="inlineStr">
        <is>
          <t>Fase 1 - Wiring &amp; Daya</t>
        </is>
      </c>
      <c r="C15" s="12" t="inlineStr">
        <is>
          <t>Pasang pulldown 10k di ENA, IN1, IN2</t>
        </is>
      </c>
      <c r="D15" s="12" t="inlineStr">
        <is>
          <t>3 resistor ke GND; menjamin motor mati saat ESP32 boot</t>
        </is>
      </c>
      <c r="E15" s="6" t="n">
        <v>0.5</v>
      </c>
      <c r="F15" s="16" t="inlineStr">
        <is>
          <t>D1</t>
        </is>
      </c>
      <c r="G15" s="16" t="inlineStr">
        <is>
          <t>Tinggi</t>
        </is>
      </c>
      <c r="H15" s="16" t="inlineStr">
        <is>
          <t>Tidak</t>
        </is>
      </c>
      <c r="I15" s="16" t="inlineStr">
        <is>
          <t>Belum</t>
        </is>
      </c>
      <c r="J15" s="12" t="inlineStr">
        <is>
          <t>wiring 4</t>
        </is>
      </c>
    </row>
    <row r="16">
      <c r="A16" s="16" t="inlineStr">
        <is>
          <t>1.7</t>
        </is>
      </c>
      <c r="B16" s="12" t="inlineStr">
        <is>
          <t>Fase 1 - Wiring &amp; Daya</t>
        </is>
      </c>
      <c r="C16" s="12" t="inlineStr">
        <is>
          <t>Rakit pembagi tegangan 100k/22k ke GPIO 34</t>
        </is>
      </c>
      <c r="D16" s="12" t="inlineStr">
        <is>
          <t>Ukur ~3,03 V saat 4S penuh (16,8 V). Tambah 100nF ke GND</t>
        </is>
      </c>
      <c r="E16" s="6" t="n">
        <v>0.5</v>
      </c>
      <c r="F16" s="16" t="inlineStr">
        <is>
          <t>D1</t>
        </is>
      </c>
      <c r="G16" s="16" t="inlineStr">
        <is>
          <t>Sedang</t>
        </is>
      </c>
      <c r="H16" s="16" t="inlineStr">
        <is>
          <t>Tidak</t>
        </is>
      </c>
      <c r="I16" s="16" t="inlineStr">
        <is>
          <t>Belum</t>
        </is>
      </c>
      <c r="J16" s="12" t="inlineStr">
        <is>
          <t>wiring 6</t>
        </is>
      </c>
    </row>
    <row r="17">
      <c r="A17" s="16" t="inlineStr">
        <is>
          <t>1.8</t>
        </is>
      </c>
      <c r="B17" s="12" t="inlineStr">
        <is>
          <t>Fase 1 - Wiring &amp; Daya</t>
        </is>
      </c>
      <c r="C17" s="12" t="inlineStr">
        <is>
          <t>Star ground: semua GND ke SATU titik</t>
        </is>
      </c>
      <c r="D17" s="12" t="inlineStr">
        <is>
          <t>Kedua step-down, L298N, servo, kedua ESP32, pembagi</t>
        </is>
      </c>
      <c r="E17" s="6" t="n">
        <v>0.5</v>
      </c>
      <c r="F17" s="16" t="inlineStr">
        <is>
          <t>D1</t>
        </is>
      </c>
      <c r="G17" s="16" t="inlineStr">
        <is>
          <t>Kritis</t>
        </is>
      </c>
      <c r="H17" s="16" t="inlineStr">
        <is>
          <t>Tidak</t>
        </is>
      </c>
      <c r="I17" s="16" t="inlineStr">
        <is>
          <t>Belum</t>
        </is>
      </c>
      <c r="J17" s="12" t="inlineStr">
        <is>
          <t>wiring 2</t>
        </is>
      </c>
    </row>
    <row r="18">
      <c r="A18" s="16" t="inlineStr">
        <is>
          <t>1.9</t>
        </is>
      </c>
      <c r="B18" s="12" t="inlineStr">
        <is>
          <t>Fase 1 - Wiring &amp; Daya</t>
        </is>
      </c>
      <c r="C18" s="12" t="inlineStr">
        <is>
          <t>Elko 470uF di terminal Vs L298N</t>
        </is>
      </c>
      <c r="D18" s="12" t="inlineStr">
        <is>
          <t>Terpasang, polaritas benar</t>
        </is>
      </c>
      <c r="E18" s="6" t="n">
        <v>0.3</v>
      </c>
      <c r="F18" s="16" t="inlineStr">
        <is>
          <t>D1</t>
        </is>
      </c>
      <c r="G18" s="16" t="inlineStr">
        <is>
          <t>Tinggi</t>
        </is>
      </c>
      <c r="H18" s="16" t="inlineStr">
        <is>
          <t>Tidak</t>
        </is>
      </c>
      <c r="I18" s="16" t="inlineStr">
        <is>
          <t>Belum</t>
        </is>
      </c>
      <c r="J18" s="12" t="inlineStr">
        <is>
          <t>wiring 2</t>
        </is>
      </c>
    </row>
    <row r="19">
      <c r="A19" s="16" t="inlineStr">
        <is>
          <t>1.10</t>
        </is>
      </c>
      <c r="B19" s="12" t="inlineStr">
        <is>
          <t>Fase 1 - Wiring &amp; Daya</t>
        </is>
      </c>
      <c r="C19" s="12" t="inlineStr">
        <is>
          <t>Elko 1000uF di jalur 5V servo</t>
        </is>
      </c>
      <c r="D19" s="12" t="inlineStr">
        <is>
          <t>SEDEKAT MUNGKIN ke konektor servo, bukan di step-down</t>
        </is>
      </c>
      <c r="E19" s="6" t="n">
        <v>0.3</v>
      </c>
      <c r="F19" s="16" t="inlineStr">
        <is>
          <t>D1</t>
        </is>
      </c>
      <c r="G19" s="16" t="inlineStr">
        <is>
          <t>Kritis</t>
        </is>
      </c>
      <c r="H19" s="16" t="inlineStr">
        <is>
          <t>Tidak</t>
        </is>
      </c>
      <c r="I19" s="16" t="inlineStr">
        <is>
          <t>Belum</t>
        </is>
      </c>
      <c r="J19" s="12" t="inlineStr">
        <is>
          <t>wiring 2</t>
        </is>
      </c>
    </row>
    <row r="20">
      <c r="A20" s="16" t="inlineStr">
        <is>
          <t>1.11</t>
        </is>
      </c>
      <c r="B20" s="12" t="inlineStr">
        <is>
          <t>Fase 1 - Wiring &amp; Daya</t>
        </is>
      </c>
      <c r="C20" s="12" t="inlineStr">
        <is>
          <t>Elko 470uF + 100nF di 5V kamera</t>
        </is>
      </c>
      <c r="D20" s="12" t="inlineStr">
        <is>
          <t>Sedekat mungkin ke XIAO. Cegah brownout saat WiFi transmit</t>
        </is>
      </c>
      <c r="E20" s="6" t="n">
        <v>0.3</v>
      </c>
      <c r="F20" s="16" t="inlineStr">
        <is>
          <t>D1</t>
        </is>
      </c>
      <c r="G20" s="16" t="inlineStr">
        <is>
          <t>Kritis</t>
        </is>
      </c>
      <c r="H20" s="16" t="inlineStr">
        <is>
          <t>Tidak</t>
        </is>
      </c>
      <c r="I20" s="16" t="inlineStr">
        <is>
          <t>Belum</t>
        </is>
      </c>
      <c r="J20" s="12" t="inlineStr">
        <is>
          <t>wiring 7a</t>
        </is>
      </c>
    </row>
    <row r="21">
      <c r="A21" s="16" t="inlineStr">
        <is>
          <t>1.12</t>
        </is>
      </c>
      <c r="B21" s="12" t="inlineStr">
        <is>
          <t>Fase 1 - Wiring &amp; Daya</t>
        </is>
      </c>
      <c r="C21" s="12" t="inlineStr">
        <is>
          <t>Tiga keramik 100nF di badan motor</t>
        </is>
      </c>
      <c r="D21" s="12" t="inlineStr">
        <is>
          <t>2 terminal + masing-masing ke casing. Redam noise ke WiFi/video</t>
        </is>
      </c>
      <c r="E21" s="6" t="n">
        <v>0.3</v>
      </c>
      <c r="F21" s="16" t="inlineStr">
        <is>
          <t>D1</t>
        </is>
      </c>
      <c r="G21" s="16" t="inlineStr">
        <is>
          <t>Sedang</t>
        </is>
      </c>
      <c r="H21" s="16" t="inlineStr">
        <is>
          <t>Tidak</t>
        </is>
      </c>
      <c r="I21" s="16" t="inlineStr">
        <is>
          <t>Belum</t>
        </is>
      </c>
      <c r="J21" s="12" t="inlineStr">
        <is>
          <t>wiring 4</t>
        </is>
      </c>
    </row>
    <row r="22">
      <c r="A22" s="16" t="inlineStr">
        <is>
          <t>1.13</t>
        </is>
      </c>
      <c r="B22" s="12" t="inlineStr">
        <is>
          <t>Fase 1 - Wiring &amp; Daya</t>
        </is>
      </c>
      <c r="C22" s="12" t="inlineStr">
        <is>
          <t>Pasang antena eksternal u.FL di XIAO</t>
        </is>
      </c>
      <c r="D22" s="12" t="inlineStr">
        <is>
          <t>Tanpa ini jangkauan jauh lebih pendek</t>
        </is>
      </c>
      <c r="E22" s="6" t="n">
        <v>0.1</v>
      </c>
      <c r="F22" s="16" t="inlineStr">
        <is>
          <t>D1</t>
        </is>
      </c>
      <c r="G22" s="16" t="inlineStr">
        <is>
          <t>Tinggi</t>
        </is>
      </c>
      <c r="H22" s="16" t="inlineStr">
        <is>
          <t>Tidak</t>
        </is>
      </c>
      <c r="I22" s="16" t="inlineStr">
        <is>
          <t>Belum</t>
        </is>
      </c>
      <c r="J22" s="12" t="inlineStr">
        <is>
          <t>wiring 7a</t>
        </is>
      </c>
    </row>
    <row r="23">
      <c r="A23" s="17" t="inlineStr">
        <is>
          <t>1.14</t>
        </is>
      </c>
      <c r="B23" s="18" t="inlineStr">
        <is>
          <t>Fase 1 - Wiring &amp; Daya</t>
        </is>
      </c>
      <c r="C23" s="18" t="inlineStr">
        <is>
          <t>GATE: periksa ulang seluruh polaritas</t>
        </is>
      </c>
      <c r="D23" s="18" t="inlineStr">
        <is>
          <t>Checklist wiring bagian 8 lengsap sebelum baterai disambung</t>
        </is>
      </c>
      <c r="E23" s="19" t="n">
        <v>0.5</v>
      </c>
      <c r="F23" s="17" t="inlineStr">
        <is>
          <t>D1</t>
        </is>
      </c>
      <c r="G23" s="17" t="inlineStr">
        <is>
          <t>Kritis</t>
        </is>
      </c>
      <c r="H23" s="17" t="inlineStr">
        <is>
          <t>Ya</t>
        </is>
      </c>
      <c r="I23" s="17" t="inlineStr">
        <is>
          <t>Belum</t>
        </is>
      </c>
      <c r="J23" s="18" t="inlineStr">
        <is>
          <t>wiring 8</t>
        </is>
      </c>
    </row>
    <row r="24">
      <c r="A24" s="16" t="inlineStr">
        <is>
          <t>2.1</t>
        </is>
      </c>
      <c r="B24" s="12" t="inlineStr">
        <is>
          <t>Fase 2 - Flash &amp; Bench</t>
        </is>
      </c>
      <c r="C24" s="12" t="inlineStr">
        <is>
          <t>Nyalakan hotspot RCCar di laptop</t>
        </is>
      </c>
      <c r="D24" s="12" t="inlineStr">
        <is>
          <t>SSID RCCar aktif, subnet 192.168.137.x, gateway .1</t>
        </is>
      </c>
      <c r="E24" s="6" t="n">
        <v>0.3</v>
      </c>
      <c r="F24" s="16" t="inlineStr">
        <is>
          <t>D1</t>
        </is>
      </c>
      <c r="G24" s="16" t="inlineStr">
        <is>
          <t>Kritis</t>
        </is>
      </c>
      <c r="H24" s="16" t="inlineStr">
        <is>
          <t>Tidak</t>
        </is>
      </c>
      <c r="I24" s="16" t="inlineStr">
        <is>
          <t>Belum</t>
        </is>
      </c>
      <c r="J24" s="12" t="inlineStr">
        <is>
          <t>README.md</t>
        </is>
      </c>
    </row>
    <row r="25">
      <c r="A25" s="16" t="inlineStr">
        <is>
          <t>2.2</t>
        </is>
      </c>
      <c r="B25" s="12" t="inlineStr">
        <is>
          <t>Fase 2 - Flash &amp; Bench</t>
        </is>
      </c>
      <c r="C25" s="12" t="inlineStr">
        <is>
          <t>Flash rc_car_esp32 (board: ESP32 Dev Module)</t>
        </is>
      </c>
      <c r="D25" s="12" t="inlineStr">
        <is>
          <t>Upload sukses tanpa error</t>
        </is>
      </c>
      <c r="E25" s="6" t="n">
        <v>0.5</v>
      </c>
      <c r="F25" s="16" t="inlineStr">
        <is>
          <t>D1</t>
        </is>
      </c>
      <c r="G25" s="16" t="inlineStr">
        <is>
          <t>Kritis</t>
        </is>
      </c>
      <c r="H25" s="16" t="inlineStr">
        <is>
          <t>Tidak</t>
        </is>
      </c>
      <c r="I25" s="16" t="inlineStr">
        <is>
          <t>Belum</t>
        </is>
      </c>
      <c r="J25" s="12" t="inlineStr">
        <is>
          <t>README.md</t>
        </is>
      </c>
    </row>
    <row r="26">
      <c r="A26" s="17" t="inlineStr">
        <is>
          <t>2.3</t>
        </is>
      </c>
      <c r="B26" s="18" t="inlineStr">
        <is>
          <t>Fase 2 - Flash &amp; Bench</t>
        </is>
      </c>
      <c r="C26" s="18" t="inlineStr">
        <is>
          <t>GATE: Serial mobil dapat IP 192.168.137.50</t>
        </is>
      </c>
      <c r="D26" s="18" t="inlineStr">
        <is>
          <t>Serial 115200 menampilkan '[LINK] tersambung, IP 192.168.137.50'</t>
        </is>
      </c>
      <c r="E26" s="19" t="n">
        <v>0.3</v>
      </c>
      <c r="F26" s="17" t="inlineStr">
        <is>
          <t>D1</t>
        </is>
      </c>
      <c r="G26" s="17" t="inlineStr">
        <is>
          <t>Kritis</t>
        </is>
      </c>
      <c r="H26" s="17" t="inlineStr">
        <is>
          <t>Ya</t>
        </is>
      </c>
      <c r="I26" s="17" t="inlineStr">
        <is>
          <t>Belum</t>
        </is>
      </c>
      <c r="J26" s="18" t="inlineStr">
        <is>
          <t>README.md</t>
        </is>
      </c>
    </row>
    <row r="27">
      <c r="A27" s="16" t="inlineStr">
        <is>
          <t>2.4</t>
        </is>
      </c>
      <c r="B27" s="12" t="inlineStr">
        <is>
          <t>Fase 2 - Flash &amp; Bench</t>
        </is>
      </c>
      <c r="C27" s="12" t="inlineStr">
        <is>
          <t>Flash rc_cam_esp32 (XIAO, PSRAM = OPI PSRAM)</t>
        </is>
      </c>
      <c r="D27" s="12" t="inlineStr">
        <is>
          <t>PSRAM WAJIB diubah dari Disabled ke OPI PSRAM</t>
        </is>
      </c>
      <c r="E27" s="6" t="n">
        <v>0.5</v>
      </c>
      <c r="F27" s="16" t="inlineStr">
        <is>
          <t>D1</t>
        </is>
      </c>
      <c r="G27" s="16" t="inlineStr">
        <is>
          <t>Kritis</t>
        </is>
      </c>
      <c r="H27" s="16" t="inlineStr">
        <is>
          <t>Tidak</t>
        </is>
      </c>
      <c r="I27" s="16" t="inlineStr">
        <is>
          <t>Belum</t>
        </is>
      </c>
      <c r="J27" s="12" t="inlineStr">
        <is>
          <t>camera_pins.h</t>
        </is>
      </c>
    </row>
    <row r="28">
      <c r="A28" s="17" t="inlineStr">
        <is>
          <t>2.5</t>
        </is>
      </c>
      <c r="B28" s="18" t="inlineStr">
        <is>
          <t>Fase 2 - Flash &amp; Bench</t>
        </is>
      </c>
      <c r="C28" s="18" t="inlineStr">
        <is>
          <t>GATE: Serial kamera dapat IP 192.168.137.60</t>
        </is>
      </c>
      <c r="D28" s="18" t="inlineStr">
        <is>
          <t>'[CAM] kamera siap' lalu IP. Kalau init gagal: papan Sense kurang rapat</t>
        </is>
      </c>
      <c r="E28" s="19" t="n">
        <v>0.3</v>
      </c>
      <c r="F28" s="17" t="inlineStr">
        <is>
          <t>D1</t>
        </is>
      </c>
      <c r="G28" s="17" t="inlineStr">
        <is>
          <t>Kritis</t>
        </is>
      </c>
      <c r="H28" s="17" t="inlineStr">
        <is>
          <t>Ya</t>
        </is>
      </c>
      <c r="I28" s="17" t="inlineStr">
        <is>
          <t>Belum</t>
        </is>
      </c>
      <c r="J28" s="18" t="inlineStr">
        <is>
          <t>README.md</t>
        </is>
      </c>
    </row>
    <row r="29">
      <c r="A29" s="16" t="inlineStr">
        <is>
          <t>2.6</t>
        </is>
      </c>
      <c r="B29" s="12" t="inlineStr">
        <is>
          <t>Fase 2 - Flash &amp; Bench</t>
        </is>
      </c>
      <c r="C29" s="12" t="inlineStr">
        <is>
          <t>Uji stream kamera di browser dulu</t>
        </is>
      </c>
      <c r="D29" s="12" t="inlineStr">
        <is>
          <t>http://192.168.137.60/ gambar muncul dan stabil, sebelum ground station</t>
        </is>
      </c>
      <c r="E29" s="6" t="n">
        <v>0.5</v>
      </c>
      <c r="F29" s="16" t="inlineStr">
        <is>
          <t>D1</t>
        </is>
      </c>
      <c r="G29" s="16" t="inlineStr">
        <is>
          <t>Tinggi</t>
        </is>
      </c>
      <c r="H29" s="16" t="inlineStr">
        <is>
          <t>Tidak</t>
        </is>
      </c>
      <c r="I29" s="16" t="inlineStr">
        <is>
          <t>Belum</t>
        </is>
      </c>
      <c r="J29" s="12" t="inlineStr">
        <is>
          <t>README.md</t>
        </is>
      </c>
    </row>
    <row r="30">
      <c r="A30" s="16" t="inlineStr">
        <is>
          <t>2.7</t>
        </is>
      </c>
      <c r="B30" s="12" t="inlineStr">
        <is>
          <t>Fase 2 - Flash &amp; Bench</t>
        </is>
      </c>
      <c r="C30" s="12" t="inlineStr">
        <is>
          <t>Kalibrasi VBAT_DIVIDER_RATIO</t>
        </is>
      </c>
      <c r="D30" s="12" t="inlineStr">
        <is>
          <t>Tegangan di HUD cocok multimeter +/- 0,1 V</t>
        </is>
      </c>
      <c r="E30" s="6" t="n">
        <v>0.5</v>
      </c>
      <c r="F30" s="16" t="inlineStr">
        <is>
          <t>D2</t>
        </is>
      </c>
      <c r="G30" s="16" t="inlineStr">
        <is>
          <t>Sedang</t>
        </is>
      </c>
      <c r="H30" s="16" t="inlineStr">
        <is>
          <t>Tidak</t>
        </is>
      </c>
      <c r="I30" s="16" t="inlineStr">
        <is>
          <t>Belum</t>
        </is>
      </c>
      <c r="J30" s="12" t="inlineStr">
        <is>
          <t>wiring 6</t>
        </is>
      </c>
    </row>
    <row r="31">
      <c r="A31" s="16" t="inlineStr">
        <is>
          <t>2.8</t>
        </is>
      </c>
      <c r="B31" s="12" t="inlineStr">
        <is>
          <t>Fase 2 - Flash &amp; Bench</t>
        </is>
      </c>
      <c r="C31" s="12" t="inlineStr">
        <is>
          <t>Uji servo saja, motor BELUM disambung</t>
        </is>
      </c>
      <c r="D31" s="12" t="inlineStr">
        <is>
          <t>Servo bergerak halus mengikuti stir</t>
        </is>
      </c>
      <c r="E31" s="6" t="n">
        <v>1</v>
      </c>
      <c r="F31" s="16" t="inlineStr">
        <is>
          <t>D2</t>
        </is>
      </c>
      <c r="G31" s="16" t="inlineStr">
        <is>
          <t>Kritis</t>
        </is>
      </c>
      <c r="H31" s="16" t="inlineStr">
        <is>
          <t>Tidak</t>
        </is>
      </c>
      <c r="I31" s="16" t="inlineStr">
        <is>
          <t>Belum</t>
        </is>
      </c>
      <c r="J31" s="12" t="inlineStr">
        <is>
          <t>README.md</t>
        </is>
      </c>
    </row>
    <row r="32">
      <c r="A32" s="16" t="inlineStr">
        <is>
          <t>2.9</t>
        </is>
      </c>
      <c r="B32" s="12" t="inlineStr">
        <is>
          <t>Fase 2 - Flash &amp; Bench</t>
        </is>
      </c>
      <c r="C32" s="12" t="inlineStr">
        <is>
          <t>Setel SERVO_MIN_US / SERVO_MAX_US bertahap</t>
        </is>
      </c>
      <c r="D32" s="12" t="inlineStr">
        <is>
          <t>Mulai 1300/1700, lebarkan 50us tiap kali. Berhenti saat mulai mendengung</t>
        </is>
      </c>
      <c r="E32" s="6" t="n">
        <v>1</v>
      </c>
      <c r="F32" s="16" t="inlineStr">
        <is>
          <t>D2</t>
        </is>
      </c>
      <c r="G32" s="16" t="inlineStr">
        <is>
          <t>Tinggi</t>
        </is>
      </c>
      <c r="H32" s="16" t="inlineStr">
        <is>
          <t>Tidak</t>
        </is>
      </c>
      <c r="I32" s="16" t="inlineStr">
        <is>
          <t>Belum</t>
        </is>
      </c>
      <c r="J32" s="12" t="inlineStr">
        <is>
          <t>wiring 5</t>
        </is>
      </c>
    </row>
    <row r="33">
      <c r="A33" s="16" t="inlineStr">
        <is>
          <t>2.10</t>
        </is>
      </c>
      <c r="B33" s="12" t="inlineStr">
        <is>
          <t>Fase 2 - Flash &amp; Bench</t>
        </is>
      </c>
      <c r="C33" s="12" t="inlineStr">
        <is>
          <t>Sambung motor, RODA DI UDARA, max_forward 0.30</t>
        </is>
      </c>
      <c r="D33" s="12" t="inlineStr">
        <is>
          <t>Motor berputar maju terkendali</t>
        </is>
      </c>
      <c r="E33" s="6" t="n">
        <v>0.5</v>
      </c>
      <c r="F33" s="16" t="inlineStr">
        <is>
          <t>D2</t>
        </is>
      </c>
      <c r="G33" s="16" t="inlineStr">
        <is>
          <t>Kritis</t>
        </is>
      </c>
      <c r="H33" s="16" t="inlineStr">
        <is>
          <t>Tidak</t>
        </is>
      </c>
      <c r="I33" s="16" t="inlineStr">
        <is>
          <t>Belum</t>
        </is>
      </c>
      <c r="J33" s="12" t="inlineStr">
        <is>
          <t>README.md</t>
        </is>
      </c>
    </row>
    <row r="34">
      <c r="A34" s="16" t="inlineStr">
        <is>
          <t>2.11</t>
        </is>
      </c>
      <c r="B34" s="12" t="inlineStr">
        <is>
          <t>Fase 2 - Flash &amp; Bench</t>
        </is>
      </c>
      <c r="C34" s="12" t="inlineStr">
        <is>
          <t>Verifikasi arah maju/mundur</t>
        </is>
      </c>
      <c r="D34" s="12" t="inlineStr">
        <is>
          <t>Kalau terbalik: tukar OUT1 dan OUT2, jangan diubah lewat program</t>
        </is>
      </c>
      <c r="E34" s="6" t="n">
        <v>0.3</v>
      </c>
      <c r="F34" s="16" t="inlineStr">
        <is>
          <t>D2</t>
        </is>
      </c>
      <c r="G34" s="16" t="inlineStr">
        <is>
          <t>Tinggi</t>
        </is>
      </c>
      <c r="H34" s="16" t="inlineStr">
        <is>
          <t>Tidak</t>
        </is>
      </c>
      <c r="I34" s="16" t="inlineStr">
        <is>
          <t>Belum</t>
        </is>
      </c>
      <c r="J34" s="12" t="inlineStr">
        <is>
          <t>wiring 4</t>
        </is>
      </c>
    </row>
    <row r="35">
      <c r="A35" s="16" t="inlineStr">
        <is>
          <t>2.12</t>
        </is>
      </c>
      <c r="B35" s="12" t="inlineStr">
        <is>
          <t>Fase 2 - Flash &amp; Bench</t>
        </is>
      </c>
      <c r="C35" s="12" t="inlineStr">
        <is>
          <t>Uji tuas gigi N / 1-6 / R</t>
        </is>
      </c>
      <c r="D35" s="12" t="inlineStr">
        <is>
          <t>N tidak jalan; harus di N untuk arm; R mundur; tiap gigi batasi kecepatan</t>
        </is>
      </c>
      <c r="E35" s="6" t="n">
        <v>0.5</v>
      </c>
      <c r="F35" s="16" t="inlineStr">
        <is>
          <t>D2</t>
        </is>
      </c>
      <c r="G35" s="16" t="inlineStr">
        <is>
          <t>Tinggi</t>
        </is>
      </c>
      <c r="H35" s="16" t="inlineStr">
        <is>
          <t>Tidak</t>
        </is>
      </c>
      <c r="I35" s="16" t="inlineStr">
        <is>
          <t>Belum</t>
        </is>
      </c>
      <c r="J35" s="12" t="inlineStr">
        <is>
          <t>README.md</t>
        </is>
      </c>
    </row>
    <row r="36">
      <c r="A36" s="16" t="inlineStr">
        <is>
          <t>2.13</t>
        </is>
      </c>
      <c r="B36" s="12" t="inlineStr">
        <is>
          <t>Fase 2 - Flash &amp; Bench</t>
        </is>
      </c>
      <c r="C36" s="12" t="inlineStr">
        <is>
          <t>Uji pedal rem (sekarang benar-benar mengerem)</t>
        </is>
      </c>
      <c r="D36" s="12" t="inlineStr">
        <is>
          <t>Motor mengerem, bukan berbalik arah seperti versi lama</t>
        </is>
      </c>
      <c r="E36" s="6" t="n">
        <v>0.3</v>
      </c>
      <c r="F36" s="16" t="inlineStr">
        <is>
          <t>D2</t>
        </is>
      </c>
      <c r="G36" s="16" t="inlineStr">
        <is>
          <t>Tinggi</t>
        </is>
      </c>
      <c r="H36" s="16" t="inlineStr">
        <is>
          <t>Tidak</t>
        </is>
      </c>
      <c r="I36" s="16" t="inlineStr">
        <is>
          <t>Belum</t>
        </is>
      </c>
      <c r="J36" s="12" t="inlineStr">
        <is>
          <t>protocol 3</t>
        </is>
      </c>
    </row>
    <row r="37">
      <c r="A37" s="16" t="inlineStr">
        <is>
          <t>2.14</t>
        </is>
      </c>
      <c r="B37" s="12" t="inlineStr">
        <is>
          <t>Fase 2 - Flash &amp; Bench</t>
        </is>
      </c>
      <c r="C37" s="12" t="inlineStr">
        <is>
          <t>Cek suhu L298N &amp; step-down setelah 30 detik</t>
        </is>
      </c>
      <c r="D37" s="12" t="inlineStr">
        <is>
          <t>Hangat wajar. Panas = ada masalah, hentikan dan periksa</t>
        </is>
      </c>
      <c r="E37" s="6" t="n">
        <v>0.3</v>
      </c>
      <c r="F37" s="16" t="inlineStr">
        <is>
          <t>D2</t>
        </is>
      </c>
      <c r="G37" s="16" t="inlineStr">
        <is>
          <t>Kritis</t>
        </is>
      </c>
      <c r="H37" s="16" t="inlineStr">
        <is>
          <t>Tidak</t>
        </is>
      </c>
      <c r="I37" s="16" t="inlineStr">
        <is>
          <t>Belum</t>
        </is>
      </c>
      <c r="J37" s="12" t="inlineStr">
        <is>
          <t>README.md</t>
        </is>
      </c>
    </row>
    <row r="38">
      <c r="A38" s="17" t="inlineStr">
        <is>
          <t>3.1</t>
        </is>
      </c>
      <c r="B38" s="18" t="inlineStr">
        <is>
          <t>Fase 3 - Failsafe &amp; Integrasi</t>
        </is>
      </c>
      <c r="C38" s="18" t="inlineStr">
        <is>
          <t>GATE: failsafe hardware - matikan hotspot saat motor berputar</t>
        </is>
      </c>
      <c r="D38" s="18" t="inlineStr">
        <is>
          <t>Motor HARUS berhenti &lt; 300 ms. Uji terpenting di seluruh proyek</t>
        </is>
      </c>
      <c r="E38" s="19" t="n">
        <v>0.5</v>
      </c>
      <c r="F38" s="17" t="inlineStr">
        <is>
          <t>D2</t>
        </is>
      </c>
      <c r="G38" s="17" t="inlineStr">
        <is>
          <t>Kritis</t>
        </is>
      </c>
      <c r="H38" s="17" t="inlineStr">
        <is>
          <t>Ya</t>
        </is>
      </c>
      <c r="I38" s="17" t="inlineStr">
        <is>
          <t>Belum</t>
        </is>
      </c>
      <c r="J38" s="18" t="inlineStr">
        <is>
          <t>protocol 5</t>
        </is>
      </c>
    </row>
    <row r="39">
      <c r="A39" s="17" t="inlineStr">
        <is>
          <t>3.2</t>
        </is>
      </c>
      <c r="B39" s="18" t="inlineStr">
        <is>
          <t>Fase 3 - Failsafe &amp; Integrasi</t>
        </is>
      </c>
      <c r="C39" s="18" t="inlineStr">
        <is>
          <t>GATE: tidak auto-arm saat hotspot hidup lagi</t>
        </is>
      </c>
      <c r="D39" s="18" t="inlineStr">
        <is>
          <t>Tetap DISARMED sampai SPASI ditekan sadar</t>
        </is>
      </c>
      <c r="E39" s="19" t="n">
        <v>0.3</v>
      </c>
      <c r="F39" s="17" t="inlineStr">
        <is>
          <t>D2</t>
        </is>
      </c>
      <c r="G39" s="17" t="inlineStr">
        <is>
          <t>Kritis</t>
        </is>
      </c>
      <c r="H39" s="17" t="inlineStr">
        <is>
          <t>Ya</t>
        </is>
      </c>
      <c r="I39" s="17" t="inlineStr">
        <is>
          <t>Belum</t>
        </is>
      </c>
      <c r="J39" s="18" t="inlineStr">
        <is>
          <t>protocol 5</t>
        </is>
      </c>
    </row>
    <row r="40">
      <c r="A40" s="17" t="inlineStr">
        <is>
          <t>3.3</t>
        </is>
      </c>
      <c r="B40" s="18" t="inlineStr">
        <is>
          <t>Fase 3 - Failsafe &amp; Integrasi</t>
        </is>
      </c>
      <c r="C40" s="18" t="inlineStr">
        <is>
          <t>GATE: uji brownout - servo penuh + kamera streaming</t>
        </is>
      </c>
      <c r="D40" s="18" t="inlineStr">
        <is>
          <t>XIAO tidak reboot. Kalau reboot: daya 5V kurang, bukan software</t>
        </is>
      </c>
      <c r="E40" s="19" t="n">
        <v>0.5</v>
      </c>
      <c r="F40" s="17" t="inlineStr">
        <is>
          <t>D2</t>
        </is>
      </c>
      <c r="G40" s="17" t="inlineStr">
        <is>
          <t>Kritis</t>
        </is>
      </c>
      <c r="H40" s="17" t="inlineStr">
        <is>
          <t>Ya</t>
        </is>
      </c>
      <c r="I40" s="17" t="inlineStr">
        <is>
          <t>Belum</t>
        </is>
      </c>
      <c r="J40" s="18" t="inlineStr">
        <is>
          <t>wiring 2</t>
        </is>
      </c>
    </row>
    <row r="41">
      <c r="A41" s="16" t="inlineStr">
        <is>
          <t>3.4</t>
        </is>
      </c>
      <c r="B41" s="12" t="inlineStr">
        <is>
          <t>Fase 3 - Failsafe &amp; Integrasi</t>
        </is>
      </c>
      <c r="C41" s="12" t="inlineStr">
        <is>
          <t>Ukur PING di HUD</t>
        </is>
      </c>
      <c r="D41" s="12" t="inlineStr">
        <is>
          <t>Target &lt; 30 ms di jaringan hotspot yang sehat</t>
        </is>
      </c>
      <c r="E41" s="6" t="n">
        <v>0.3</v>
      </c>
      <c r="F41" s="16" t="inlineStr">
        <is>
          <t>D2</t>
        </is>
      </c>
      <c r="G41" s="16" t="inlineStr">
        <is>
          <t>Tinggi</t>
        </is>
      </c>
      <c r="H41" s="16" t="inlineStr">
        <is>
          <t>Tidak</t>
        </is>
      </c>
      <c r="I41" s="16" t="inlineStr">
        <is>
          <t>Belum</t>
        </is>
      </c>
      <c r="J41" s="12" t="inlineStr">
        <is>
          <t>README.md</t>
        </is>
      </c>
    </row>
    <row r="42">
      <c r="A42" s="16" t="inlineStr">
        <is>
          <t>3.5</t>
        </is>
      </c>
      <c r="B42" s="12" t="inlineStr">
        <is>
          <t>Fase 3 - Failsafe &amp; Integrasi</t>
        </is>
      </c>
      <c r="C42" s="12" t="inlineStr">
        <is>
          <t>Ukur VIDEO fps di HUD</t>
        </is>
      </c>
      <c r="D42" s="12" t="inlineStr">
        <is>
          <t>Target &gt;= 15 fps pada VGA 640x480</t>
        </is>
      </c>
      <c r="E42" s="6" t="n">
        <v>0.3</v>
      </c>
      <c r="F42" s="16" t="inlineStr">
        <is>
          <t>D2</t>
        </is>
      </c>
      <c r="G42" s="16" t="inlineStr">
        <is>
          <t>Tinggi</t>
        </is>
      </c>
      <c r="H42" s="16" t="inlineStr">
        <is>
          <t>Tidak</t>
        </is>
      </c>
      <c r="I42" s="16" t="inlineStr">
        <is>
          <t>Belum</t>
        </is>
      </c>
      <c r="J42" s="12" t="inlineStr">
        <is>
          <t>README.md</t>
        </is>
      </c>
    </row>
    <row r="43">
      <c r="A43" s="16" t="inlineStr">
        <is>
          <t>3.6</t>
        </is>
      </c>
      <c r="B43" s="12" t="inlineStr">
        <is>
          <t>Fase 3 - Failsafe &amp; Integrasi</t>
        </is>
      </c>
      <c r="C43" s="12" t="inlineStr">
        <is>
          <t>Uji jangkauan bertahap 10 / 20 / 30 m</t>
        </is>
      </c>
      <c r="D43" s="12" t="inlineStr">
        <is>
          <t>Catat PING, fps, dan RSSI tiap jarak. Cari batas amannya</t>
        </is>
      </c>
      <c r="E43" s="6" t="n">
        <v>1</v>
      </c>
      <c r="F43" s="16" t="inlineStr">
        <is>
          <t>D2</t>
        </is>
      </c>
      <c r="G43" s="16" t="inlineStr">
        <is>
          <t>Sedang</t>
        </is>
      </c>
      <c r="H43" s="16" t="inlineStr">
        <is>
          <t>Tidak</t>
        </is>
      </c>
      <c r="I43" s="16" t="inlineStr">
        <is>
          <t>Belum</t>
        </is>
      </c>
      <c r="J43" s="12" t="inlineStr">
        <is>
          <t>-</t>
        </is>
      </c>
    </row>
    <row r="44">
      <c r="A44" s="16" t="inlineStr">
        <is>
          <t>3.7</t>
        </is>
      </c>
      <c r="B44" s="12" t="inlineStr">
        <is>
          <t>Fase 3 - Failsafe &amp; Integrasi</t>
        </is>
      </c>
      <c r="C44" s="12" t="inlineStr">
        <is>
          <t>Uji tombol stop darurat</t>
        </is>
      </c>
      <c r="D44" s="12" t="inlineStr">
        <is>
          <t>Tombol E dan tombol estop di stir menghentikan motor seketika</t>
        </is>
      </c>
      <c r="E44" s="6" t="n">
        <v>0.2</v>
      </c>
      <c r="F44" s="16" t="inlineStr">
        <is>
          <t>D2</t>
        </is>
      </c>
      <c r="G44" s="16" t="inlineStr">
        <is>
          <t>Kritis</t>
        </is>
      </c>
      <c r="H44" s="16" t="inlineStr">
        <is>
          <t>Tidak</t>
        </is>
      </c>
      <c r="I44" s="16" t="inlineStr">
        <is>
          <t>Belum</t>
        </is>
      </c>
      <c r="J44" s="12" t="inlineStr">
        <is>
          <t>README.md</t>
        </is>
      </c>
    </row>
    <row r="45">
      <c r="A45" s="16" t="inlineStr">
        <is>
          <t>4.1</t>
        </is>
      </c>
      <c r="B45" s="12" t="inlineStr">
        <is>
          <t>Fase 4 - Uji Lantai &amp; Tuning</t>
        </is>
      </c>
      <c r="C45" s="12" t="inlineStr">
        <is>
          <t>Turunkan ke lantai, ruang terbuka, max_forward 0.30</t>
        </is>
      </c>
      <c r="D45" s="12" t="inlineStr">
        <is>
          <t>Mobil jalan terkendali, tidak ada perilaku kejut</t>
        </is>
      </c>
      <c r="E45" s="6" t="n">
        <v>0.5</v>
      </c>
      <c r="F45" s="16" t="inlineStr">
        <is>
          <t>D3</t>
        </is>
      </c>
      <c r="G45" s="16" t="inlineStr">
        <is>
          <t>Kritis</t>
        </is>
      </c>
      <c r="H45" s="16" t="inlineStr">
        <is>
          <t>Tidak</t>
        </is>
      </c>
      <c r="I45" s="16" t="inlineStr">
        <is>
          <t>Belum</t>
        </is>
      </c>
      <c r="J45" s="12" t="inlineStr">
        <is>
          <t>README.md</t>
        </is>
      </c>
    </row>
    <row r="46">
      <c r="A46" s="16" t="inlineStr">
        <is>
          <t>4.2</t>
        </is>
      </c>
      <c r="B46" s="12" t="inlineStr">
        <is>
          <t>Fase 4 - Uji Lantai &amp; Tuning</t>
        </is>
      </c>
      <c r="C46" s="12" t="inlineStr">
        <is>
          <t>Setel trim stir sampai lurus, simpan dengan F5</t>
        </is>
      </c>
      <c r="D46" s="12" t="inlineStr">
        <is>
          <t>Mobil berjalan lurus tanpa dikoreksi terus</t>
        </is>
      </c>
      <c r="E46" s="6" t="n">
        <v>0.5</v>
      </c>
      <c r="F46" s="16" t="inlineStr">
        <is>
          <t>D3</t>
        </is>
      </c>
      <c r="G46" s="16" t="inlineStr">
        <is>
          <t>Tinggi</t>
        </is>
      </c>
      <c r="H46" s="16" t="inlineStr">
        <is>
          <t>Tidak</t>
        </is>
      </c>
      <c r="I46" s="16" t="inlineStr">
        <is>
          <t>Belum</t>
        </is>
      </c>
      <c r="J46" s="12" t="inlineStr">
        <is>
          <t>README.md</t>
        </is>
      </c>
    </row>
    <row r="47">
      <c r="A47" s="16" t="inlineStr">
        <is>
          <t>4.3</t>
        </is>
      </c>
      <c r="B47" s="12" t="inlineStr">
        <is>
          <t>Fase 4 - Uji Lantai &amp; Tuning</t>
        </is>
      </c>
      <c r="C47" s="12" t="inlineStr">
        <is>
          <t>Naikkan max_forward bertahap 0.30 -&gt; 0.50 -&gt; 0.70</t>
        </is>
      </c>
      <c r="D47" s="12" t="inlineStr">
        <is>
          <t>Tetap terkendali di tiap tahap sebelum naik lagi</t>
        </is>
      </c>
      <c r="E47" s="6" t="n">
        <v>1</v>
      </c>
      <c r="F47" s="16" t="inlineStr">
        <is>
          <t>D3</t>
        </is>
      </c>
      <c r="G47" s="16" t="inlineStr">
        <is>
          <t>Sedang</t>
        </is>
      </c>
      <c r="H47" s="16" t="inlineStr">
        <is>
          <t>Tidak</t>
        </is>
      </c>
      <c r="I47" s="16" t="inlineStr">
        <is>
          <t>Belum</t>
        </is>
      </c>
      <c r="J47" s="12" t="inlineStr">
        <is>
          <t>config.yaml</t>
        </is>
      </c>
    </row>
    <row r="48">
      <c r="A48" s="16" t="inlineStr">
        <is>
          <t>4.4</t>
        </is>
      </c>
      <c r="B48" s="12" t="inlineStr">
        <is>
          <t>Fase 4 - Uji Lantai &amp; Tuning</t>
        </is>
      </c>
      <c r="C48" s="12" t="inlineStr">
        <is>
          <t>Setel gear_ratios sesuai rasa berkendara</t>
        </is>
      </c>
      <c r="D48" s="12" t="inlineStr">
        <is>
          <t>Gigi 1 berguna untuk manuver rapat, gigi atas untuk lurus</t>
        </is>
      </c>
      <c r="E48" s="6" t="n">
        <v>0.5</v>
      </c>
      <c r="F48" s="16" t="inlineStr">
        <is>
          <t>D3</t>
        </is>
      </c>
      <c r="G48" s="16" t="inlineStr">
        <is>
          <t>Rendah</t>
        </is>
      </c>
      <c r="H48" s="16" t="inlineStr">
        <is>
          <t>Tidak</t>
        </is>
      </c>
      <c r="I48" s="16" t="inlineStr">
        <is>
          <t>Belum</t>
        </is>
      </c>
      <c r="J48" s="12" t="inlineStr">
        <is>
          <t>config.yaml</t>
        </is>
      </c>
    </row>
    <row r="49">
      <c r="A49" s="16" t="inlineStr">
        <is>
          <t>4.5</t>
        </is>
      </c>
      <c r="B49" s="12" t="inlineStr">
        <is>
          <t>Fase 4 - Uji Lantai &amp; Tuning</t>
        </is>
      </c>
      <c r="C49" s="12" t="inlineStr">
        <is>
          <t>Setel expo stir dan gas</t>
        </is>
      </c>
      <c r="D49" s="12" t="inlineStr">
        <is>
          <t>Respons halus di tengah, tetap penuh di ujung</t>
        </is>
      </c>
      <c r="E49" s="6" t="n">
        <v>0.5</v>
      </c>
      <c r="F49" s="16" t="inlineStr">
        <is>
          <t>D3</t>
        </is>
      </c>
      <c r="G49" s="16" t="inlineStr">
        <is>
          <t>Rendah</t>
        </is>
      </c>
      <c r="H49" s="16" t="inlineStr">
        <is>
          <t>Tidak</t>
        </is>
      </c>
      <c r="I49" s="16" t="inlineStr">
        <is>
          <t>Belum</t>
        </is>
      </c>
      <c r="J49" s="12" t="inlineStr">
        <is>
          <t>config.yaml</t>
        </is>
      </c>
    </row>
    <row r="50">
      <c r="A50" s="16" t="inlineStr">
        <is>
          <t>4.6</t>
        </is>
      </c>
      <c r="B50" s="12" t="inlineStr">
        <is>
          <t>Fase 4 - Uji Lantai &amp; Tuning</t>
        </is>
      </c>
      <c r="C50" s="12" t="inlineStr">
        <is>
          <t>Ukur waktu jalan sampai 14,0 V</t>
        </is>
      </c>
      <c r="D50" s="12" t="inlineStr">
        <is>
          <t>Catat menit sebenarnya. Perkiraan 5-8 menit dengan 4S 850 mAh</t>
        </is>
      </c>
      <c r="E50" s="6" t="n">
        <v>0.5</v>
      </c>
      <c r="F50" s="16" t="inlineStr">
        <is>
          <t>D3</t>
        </is>
      </c>
      <c r="G50" s="16" t="inlineStr">
        <is>
          <t>Sedang</t>
        </is>
      </c>
      <c r="H50" s="16" t="inlineStr">
        <is>
          <t>Tidak</t>
        </is>
      </c>
      <c r="I50" s="16" t="inlineStr">
        <is>
          <t>Belum</t>
        </is>
      </c>
      <c r="J50" s="12" t="inlineStr">
        <is>
          <t>wiring 2</t>
        </is>
      </c>
    </row>
    <row r="51">
      <c r="A51" s="16" t="inlineStr">
        <is>
          <t>5.1</t>
        </is>
      </c>
      <c r="B51" s="12" t="inlineStr">
        <is>
          <t>Fase 5 - Pindah ke LattePanda</t>
        </is>
      </c>
      <c r="C51" s="12" t="inlineStr">
        <is>
          <t>Install Python 3 di LattePanda</t>
        </is>
      </c>
      <c r="D51" s="12" t="inlineStr">
        <is>
          <t>python --version berjalan</t>
        </is>
      </c>
      <c r="E51" s="6" t="n">
        <v>0.5</v>
      </c>
      <c r="F51" s="16" t="inlineStr">
        <is>
          <t>D3</t>
        </is>
      </c>
      <c r="G51" s="16" t="inlineStr">
        <is>
          <t>Tinggi</t>
        </is>
      </c>
      <c r="H51" s="16" t="inlineStr">
        <is>
          <t>Tidak</t>
        </is>
      </c>
      <c r="I51" s="16" t="inlineStr">
        <is>
          <t>Belum</t>
        </is>
      </c>
      <c r="J51" s="12" t="inlineStr">
        <is>
          <t>README.md</t>
        </is>
      </c>
    </row>
    <row r="52">
      <c r="A52" s="16" t="inlineStr">
        <is>
          <t>5.2</t>
        </is>
      </c>
      <c r="B52" s="12" t="inlineStr">
        <is>
          <t>Fase 5 - Pindah ke LattePanda</t>
        </is>
      </c>
      <c r="C52" s="12" t="inlineStr">
        <is>
          <t>Salin folder proyek ke LattePanda</t>
        </is>
      </c>
      <c r="D52" s="12" t="inlineStr">
        <is>
          <t>Seluruh folder RC Car tersalin</t>
        </is>
      </c>
      <c r="E52" s="6" t="n">
        <v>0.3</v>
      </c>
      <c r="F52" s="16" t="inlineStr">
        <is>
          <t>D3</t>
        </is>
      </c>
      <c r="G52" s="16" t="inlineStr">
        <is>
          <t>Tinggi</t>
        </is>
      </c>
      <c r="H52" s="16" t="inlineStr">
        <is>
          <t>Tidak</t>
        </is>
      </c>
      <c r="I52" s="16" t="inlineStr">
        <is>
          <t>Belum</t>
        </is>
      </c>
      <c r="J52" s="12" t="inlineStr">
        <is>
          <t>-</t>
        </is>
      </c>
    </row>
    <row r="53">
      <c r="A53" s="16" t="inlineStr">
        <is>
          <t>5.3</t>
        </is>
      </c>
      <c r="B53" s="12" t="inlineStr">
        <is>
          <t>Fase 5 - Pindah ke LattePanda</t>
        </is>
      </c>
      <c r="C53" s="12" t="inlineStr">
        <is>
          <t>pip install -r ground/requirements.txt</t>
        </is>
      </c>
      <c r="D53" s="12" t="inlineStr">
        <is>
          <t>pygame dan PyYAML terpasang</t>
        </is>
      </c>
      <c r="E53" s="6" t="n">
        <v>0.3</v>
      </c>
      <c r="F53" s="16" t="inlineStr">
        <is>
          <t>D3</t>
        </is>
      </c>
      <c r="G53" s="16" t="inlineStr">
        <is>
          <t>Tinggi</t>
        </is>
      </c>
      <c r="H53" s="16" t="inlineStr">
        <is>
          <t>Tidak</t>
        </is>
      </c>
      <c r="I53" s="16" t="inlineStr">
        <is>
          <t>Belum</t>
        </is>
      </c>
      <c r="J53" s="12" t="inlineStr">
        <is>
          <t>README.md</t>
        </is>
      </c>
    </row>
    <row r="54">
      <c r="A54" s="16" t="inlineStr">
        <is>
          <t>5.4</t>
        </is>
      </c>
      <c r="B54" s="12" t="inlineStr">
        <is>
          <t>Fase 5 - Pindah ke LattePanda</t>
        </is>
      </c>
      <c r="C54" s="12" t="inlineStr">
        <is>
          <t>Jalankan calibrate.py di LattePanda</t>
        </is>
      </c>
      <c r="D54" s="12" t="inlineStr">
        <is>
          <t>calibration.yaml baru; enumerasi USB bisa berbeda dari laptop</t>
        </is>
      </c>
      <c r="E54" s="6" t="n">
        <v>0.5</v>
      </c>
      <c r="F54" s="16" t="inlineStr">
        <is>
          <t>D3</t>
        </is>
      </c>
      <c r="G54" s="16" t="inlineStr">
        <is>
          <t>Tinggi</t>
        </is>
      </c>
      <c r="H54" s="16" t="inlineStr">
        <is>
          <t>Tidak</t>
        </is>
      </c>
      <c r="I54" s="16" t="inlineStr">
        <is>
          <t>Belum</t>
        </is>
      </c>
      <c r="J54" s="12" t="inlineStr">
        <is>
          <t>README.md</t>
        </is>
      </c>
    </row>
    <row r="55">
      <c r="A55" s="16" t="inlineStr">
        <is>
          <t>5.5</t>
        </is>
      </c>
      <c r="B55" s="12" t="inlineStr">
        <is>
          <t>Fase 5 - Pindah ke LattePanda</t>
        </is>
      </c>
      <c r="C55" s="12" t="inlineStr">
        <is>
          <t>Pindahkan hotspot RCCar ke LattePanda</t>
        </is>
      </c>
      <c r="D55" s="12" t="inlineStr">
        <is>
          <t>SSID dan subnet sama supaya IP statis tetap cocok</t>
        </is>
      </c>
      <c r="E55" s="6" t="n">
        <v>0.5</v>
      </c>
      <c r="F55" s="16" t="inlineStr">
        <is>
          <t>D3</t>
        </is>
      </c>
      <c r="G55" s="16" t="inlineStr">
        <is>
          <t>Kritis</t>
        </is>
      </c>
      <c r="H55" s="16" t="inlineStr">
        <is>
          <t>Tidak</t>
        </is>
      </c>
      <c r="I55" s="16" t="inlineStr">
        <is>
          <t>Belum</t>
        </is>
      </c>
      <c r="J55" s="12" t="inlineStr">
        <is>
          <t>README.md</t>
        </is>
      </c>
    </row>
    <row r="56">
      <c r="A56" s="17" t="inlineStr">
        <is>
          <t>5.6</t>
        </is>
      </c>
      <c r="B56" s="18" t="inlineStr">
        <is>
          <t>Fase 5 - Pindah ke LattePanda</t>
        </is>
      </c>
      <c r="C56" s="18" t="inlineStr">
        <is>
          <t>GATE: uji ulang seluruh alur di LattePanda</t>
        </is>
      </c>
      <c r="D56" s="18" t="inlineStr">
        <is>
          <t>PING dan fps setara laptop; failsafe diuji ulang</t>
        </is>
      </c>
      <c r="E56" s="19" t="n">
        <v>1</v>
      </c>
      <c r="F56" s="17" t="inlineStr">
        <is>
          <t>D3</t>
        </is>
      </c>
      <c r="G56" s="17" t="inlineStr">
        <is>
          <t>Kritis</t>
        </is>
      </c>
      <c r="H56" s="17" t="inlineStr">
        <is>
          <t>Ya</t>
        </is>
      </c>
      <c r="I56" s="17" t="inlineStr">
        <is>
          <t>Belum</t>
        </is>
      </c>
      <c r="J56" s="18" t="inlineStr">
        <is>
          <t>README.md</t>
        </is>
      </c>
    </row>
    <row r="57">
      <c r="A57" s="16" t="inlineStr">
        <is>
          <t>6.1</t>
        </is>
      </c>
      <c r="B57" s="12" t="inlineStr">
        <is>
          <t>Fase 6 - Finalisasi</t>
        </is>
      </c>
      <c r="C57" s="12" t="inlineStr">
        <is>
          <t>Rapikan dan ikat seluruh kabel</t>
        </is>
      </c>
      <c r="D57" s="12" t="inlineStr">
        <is>
          <t>Tidak ada kabel menjuntai ke roda atau gardan</t>
        </is>
      </c>
      <c r="E57" s="6" t="n">
        <v>2</v>
      </c>
      <c r="F57" s="16" t="inlineStr">
        <is>
          <t>Lanjutan</t>
        </is>
      </c>
      <c r="G57" s="16" t="inlineStr">
        <is>
          <t>Tinggi</t>
        </is>
      </c>
      <c r="H57" s="16" t="inlineStr">
        <is>
          <t>Tidak</t>
        </is>
      </c>
      <c r="I57" s="16" t="inlineStr">
        <is>
          <t>Belum</t>
        </is>
      </c>
      <c r="J57" s="12" t="inlineStr">
        <is>
          <t>-</t>
        </is>
      </c>
    </row>
    <row r="58">
      <c r="A58" s="16" t="inlineStr">
        <is>
          <t>6.2</t>
        </is>
      </c>
      <c r="B58" s="12" t="inlineStr">
        <is>
          <t>Fase 6 - Finalisasi</t>
        </is>
      </c>
      <c r="C58" s="12" t="inlineStr">
        <is>
          <t>Pasang semua modul permanen di sasis</t>
        </is>
      </c>
      <c r="D58" s="12" t="inlineStr">
        <is>
          <t>Tidak bergeser saat menikung atau menabrak</t>
        </is>
      </c>
      <c r="E58" s="6" t="n">
        <v>2</v>
      </c>
      <c r="F58" s="16" t="inlineStr">
        <is>
          <t>Lanjutan</t>
        </is>
      </c>
      <c r="G58" s="16" t="inlineStr">
        <is>
          <t>Tinggi</t>
        </is>
      </c>
      <c r="H58" s="16" t="inlineStr">
        <is>
          <t>Tidak</t>
        </is>
      </c>
      <c r="I58" s="16" t="inlineStr">
        <is>
          <t>Belum</t>
        </is>
      </c>
      <c r="J58" s="12" t="inlineStr">
        <is>
          <t>-</t>
        </is>
      </c>
    </row>
    <row r="59">
      <c r="A59" s="16" t="inlineStr">
        <is>
          <t>6.3</t>
        </is>
      </c>
      <c r="B59" s="12" t="inlineStr">
        <is>
          <t>Fase 6 - Finalisasi</t>
        </is>
      </c>
      <c r="C59" s="12" t="inlineStr">
        <is>
          <t>Foto wiring aktual dari beberapa sudut</t>
        </is>
      </c>
      <c r="D59" s="12" t="inlineStr">
        <is>
          <t>Arsip visual untuk duplikasi nanti</t>
        </is>
      </c>
      <c r="E59" s="6" t="n">
        <v>0.5</v>
      </c>
      <c r="F59" s="16" t="inlineStr">
        <is>
          <t>Lanjutan</t>
        </is>
      </c>
      <c r="G59" s="16" t="inlineStr">
        <is>
          <t>Sedang</t>
        </is>
      </c>
      <c r="H59" s="16" t="inlineStr">
        <is>
          <t>Tidak</t>
        </is>
      </c>
      <c r="I59" s="16" t="inlineStr">
        <is>
          <t>Belum</t>
        </is>
      </c>
      <c r="J59" s="12" t="inlineStr">
        <is>
          <t>-</t>
        </is>
      </c>
    </row>
    <row r="60">
      <c r="A60" s="16" t="inlineStr">
        <is>
          <t>6.4</t>
        </is>
      </c>
      <c r="B60" s="12" t="inlineStr">
        <is>
          <t>Fase 6 - Finalisasi</t>
        </is>
      </c>
      <c r="C60" s="12" t="inlineStr">
        <is>
          <t>Perbarui docs/wiring.md sesuai hardware nyata</t>
        </is>
      </c>
      <c r="D60" s="12" t="inlineStr">
        <is>
          <t>Dokumen cocok 100% dengan yang terpasang</t>
        </is>
      </c>
      <c r="E60" s="6" t="n">
        <v>1</v>
      </c>
      <c r="F60" s="16" t="inlineStr">
        <is>
          <t>Lanjutan</t>
        </is>
      </c>
      <c r="G60" s="16" t="inlineStr">
        <is>
          <t>Tinggi</t>
        </is>
      </c>
      <c r="H60" s="16" t="inlineStr">
        <is>
          <t>Tidak</t>
        </is>
      </c>
      <c r="I60" s="16" t="inlineStr">
        <is>
          <t>Belum</t>
        </is>
      </c>
      <c r="J60" s="12" t="inlineStr">
        <is>
          <t>docs/wiring.md</t>
        </is>
      </c>
    </row>
    <row r="61">
      <c r="A61" s="16" t="inlineStr">
        <is>
          <t>6.5</t>
        </is>
      </c>
      <c r="B61" s="12" t="inlineStr">
        <is>
          <t>Fase 6 - Finalisasi</t>
        </is>
      </c>
      <c r="C61" s="12" t="inlineStr">
        <is>
          <t>Catat nilai tuning final di config.yaml</t>
        </is>
      </c>
      <c r="D61" s="12" t="inlineStr">
        <is>
          <t>Nilai yang benar-benar terbukti di lapangan</t>
        </is>
      </c>
      <c r="E61" s="6" t="n">
        <v>0.5</v>
      </c>
      <c r="F61" s="16" t="inlineStr">
        <is>
          <t>Lanjutan</t>
        </is>
      </c>
      <c r="G61" s="16" t="inlineStr">
        <is>
          <t>Tinggi</t>
        </is>
      </c>
      <c r="H61" s="16" t="inlineStr">
        <is>
          <t>Tidak</t>
        </is>
      </c>
      <c r="I61" s="16" t="inlineStr">
        <is>
          <t>Belum</t>
        </is>
      </c>
      <c r="J61" s="12" t="inlineStr">
        <is>
          <t>config.yaml</t>
        </is>
      </c>
    </row>
    <row r="62">
      <c r="A62" s="16" t="inlineStr">
        <is>
          <t>6.6</t>
        </is>
      </c>
      <c r="B62" s="12" t="inlineStr">
        <is>
          <t>Fase 6 - Finalisasi</t>
        </is>
      </c>
      <c r="C62" s="12" t="inlineStr">
        <is>
          <t>Backup proyek (git init + commit atau arsip)</t>
        </is>
      </c>
      <c r="D62" s="12" t="inlineStr">
        <is>
          <t>Ada salinan yang bisa dikembalikan kalau rusak</t>
        </is>
      </c>
      <c r="E62" s="6" t="n">
        <v>0.5</v>
      </c>
      <c r="F62" s="16" t="inlineStr">
        <is>
          <t>Lanjutan</t>
        </is>
      </c>
      <c r="G62" s="16" t="inlineStr">
        <is>
          <t>Kritis</t>
        </is>
      </c>
      <c r="H62" s="16" t="inlineStr">
        <is>
          <t>Tidak</t>
        </is>
      </c>
      <c r="I62" s="16" t="inlineStr">
        <is>
          <t>Belum</t>
        </is>
      </c>
      <c r="J62" s="12" t="inlineStr">
        <is>
          <t>-</t>
        </is>
      </c>
    </row>
    <row r="63">
      <c r="A63" s="17" t="inlineStr">
        <is>
          <t>6.7</t>
        </is>
      </c>
      <c r="B63" s="18" t="inlineStr">
        <is>
          <t>Fase 6 - Finalisasi</t>
        </is>
      </c>
      <c r="C63" s="18" t="inlineStr">
        <is>
          <t>GATE: uji ketahanan 5 siklus baterai penuh</t>
        </is>
      </c>
      <c r="D63" s="18" t="inlineStr">
        <is>
          <t>Tidak ada modul gagal, tidak ada yang kepanasan</t>
        </is>
      </c>
      <c r="E63" s="19" t="n">
        <v>3</v>
      </c>
      <c r="F63" s="17" t="inlineStr">
        <is>
          <t>Lanjutan</t>
        </is>
      </c>
      <c r="G63" s="17" t="inlineStr">
        <is>
          <t>Sedang</t>
        </is>
      </c>
      <c r="H63" s="17" t="inlineStr">
        <is>
          <t>Ya</t>
        </is>
      </c>
      <c r="I63" s="17" t="inlineStr">
        <is>
          <t>Belum</t>
        </is>
      </c>
      <c r="J63" s="18" t="inlineStr">
        <is>
          <t>-</t>
        </is>
      </c>
    </row>
    <row r="64">
      <c r="A64" s="16" t="inlineStr">
        <is>
          <t>7.1</t>
        </is>
      </c>
      <c r="B64" s="12" t="inlineStr">
        <is>
          <t>Fase 7 - Duplikasi &amp; Produksi</t>
        </is>
      </c>
      <c r="C64" s="12" t="inlineStr">
        <is>
          <t>Susun BOM final: harga + sumber beli</t>
        </is>
      </c>
      <c r="D64" s="12" t="inlineStr">
        <is>
          <t>Daftar lengkap siap belanja untuk 1 unit</t>
        </is>
      </c>
      <c r="E64" s="6" t="n">
        <v>2</v>
      </c>
      <c r="F64" s="16" t="inlineStr">
        <is>
          <t>Lanjutan</t>
        </is>
      </c>
      <c r="G64" s="16" t="inlineStr">
        <is>
          <t>Kritis</t>
        </is>
      </c>
      <c r="H64" s="16" t="inlineStr">
        <is>
          <t>Tidak</t>
        </is>
      </c>
      <c r="I64" s="16" t="inlineStr">
        <is>
          <t>Belum</t>
        </is>
      </c>
      <c r="J64" s="12" t="inlineStr">
        <is>
          <t>sheet Komponen</t>
        </is>
      </c>
    </row>
    <row r="65">
      <c r="A65" s="16" t="inlineStr">
        <is>
          <t>7.2</t>
        </is>
      </c>
      <c r="B65" s="12" t="inlineStr">
        <is>
          <t>Fase 7 - Duplikasi &amp; Produksi</t>
        </is>
      </c>
      <c r="C65" s="12" t="inlineStr">
        <is>
          <t>Tulis panduan rakit ulang langkah demi langkah</t>
        </is>
      </c>
      <c r="D65" s="12" t="inlineStr">
        <is>
          <t>Orang lain bisa mengikuti tanpa bertanya</t>
        </is>
      </c>
      <c r="E65" s="6" t="n">
        <v>4</v>
      </c>
      <c r="F65" s="16" t="inlineStr">
        <is>
          <t>Lanjutan</t>
        </is>
      </c>
      <c r="G65" s="16" t="inlineStr">
        <is>
          <t>Kritis</t>
        </is>
      </c>
      <c r="H65" s="16" t="inlineStr">
        <is>
          <t>Tidak</t>
        </is>
      </c>
      <c r="I65" s="16" t="inlineStr">
        <is>
          <t>Belum</t>
        </is>
      </c>
      <c r="J65" s="12" t="inlineStr">
        <is>
          <t>-</t>
        </is>
      </c>
    </row>
    <row r="66">
      <c r="A66" s="16" t="inlineStr">
        <is>
          <t>7.3</t>
        </is>
      </c>
      <c r="B66" s="12" t="inlineStr">
        <is>
          <t>Fase 7 - Duplikasi &amp; Produksi</t>
        </is>
      </c>
      <c r="C66" s="12" t="inlineStr">
        <is>
          <t>Standarkan IP per unit (unit 2: .51 dan .61)</t>
        </is>
      </c>
      <c r="D66" s="12" t="inlineStr">
        <is>
          <t>Dua mobil bisa menyala bersamaan tanpa bentrok</t>
        </is>
      </c>
      <c r="E66" s="6" t="n">
        <v>0.5</v>
      </c>
      <c r="F66" s="16" t="inlineStr">
        <is>
          <t>Lanjutan</t>
        </is>
      </c>
      <c r="G66" s="16" t="inlineStr">
        <is>
          <t>Tinggi</t>
        </is>
      </c>
      <c r="H66" s="16" t="inlineStr">
        <is>
          <t>Tidak</t>
        </is>
      </c>
      <c r="I66" s="16" t="inlineStr">
        <is>
          <t>Belum</t>
        </is>
      </c>
      <c r="J66" s="12" t="inlineStr">
        <is>
          <t>config.h</t>
        </is>
      </c>
    </row>
    <row r="67">
      <c r="A67" s="16" t="inlineStr">
        <is>
          <t>7.4</t>
        </is>
      </c>
      <c r="B67" s="12" t="inlineStr">
        <is>
          <t>Fase 7 - Duplikasi &amp; Produksi</t>
        </is>
      </c>
      <c r="C67" s="12" t="inlineStr">
        <is>
          <t>Buat opsi SSID/IP per unit di config</t>
        </is>
      </c>
      <c r="D67" s="12" t="inlineStr">
        <is>
          <t>Tidak perlu mengedit kode tiap merakit unit baru</t>
        </is>
      </c>
      <c r="E67" s="6" t="n">
        <v>2</v>
      </c>
      <c r="F67" s="16" t="inlineStr">
        <is>
          <t>Lanjutan</t>
        </is>
      </c>
      <c r="G67" s="16" t="inlineStr">
        <is>
          <t>Sedang</t>
        </is>
      </c>
      <c r="H67" s="16" t="inlineStr">
        <is>
          <t>Tidak</t>
        </is>
      </c>
      <c r="I67" s="16" t="inlineStr">
        <is>
          <t>Belum</t>
        </is>
      </c>
      <c r="J67" s="12" t="inlineStr">
        <is>
          <t>config.h</t>
        </is>
      </c>
    </row>
    <row r="68">
      <c r="A68" s="17" t="inlineStr">
        <is>
          <t>7.5</t>
        </is>
      </c>
      <c r="B68" s="18" t="inlineStr">
        <is>
          <t>Fase 7 - Duplikasi &amp; Produksi</t>
        </is>
      </c>
      <c r="C68" s="18" t="inlineStr">
        <is>
          <t>GATE: rakit unit ke-2 hanya bermodal panduan</t>
        </is>
      </c>
      <c r="D68" s="18" t="inlineStr">
        <is>
          <t>Selesai tanpa membuka catatan lama atau bertanya</t>
        </is>
      </c>
      <c r="E68" s="19" t="n">
        <v>6</v>
      </c>
      <c r="F68" s="17" t="inlineStr">
        <is>
          <t>Lanjutan</t>
        </is>
      </c>
      <c r="G68" s="17" t="inlineStr">
        <is>
          <t>Kritis</t>
        </is>
      </c>
      <c r="H68" s="17" t="inlineStr">
        <is>
          <t>Ya</t>
        </is>
      </c>
      <c r="I68" s="17" t="inlineStr">
        <is>
          <t>Belum</t>
        </is>
      </c>
      <c r="J68" s="18" t="inlineStr">
        <is>
          <t>-</t>
        </is>
      </c>
    </row>
    <row r="69">
      <c r="A69" s="16" t="inlineStr">
        <is>
          <t>7.6</t>
        </is>
      </c>
      <c r="B69" s="12" t="inlineStr">
        <is>
          <t>Fase 7 - Duplikasi &amp; Produksi</t>
        </is>
      </c>
      <c r="C69" s="12" t="inlineStr">
        <is>
          <t>Catat semua kendala saat merakit unit ke-2</t>
        </is>
      </c>
      <c r="D69" s="12" t="inlineStr">
        <is>
          <t>Daftar revisi konkret untuk panduan</t>
        </is>
      </c>
      <c r="E69" s="6" t="n">
        <v>1</v>
      </c>
      <c r="F69" s="16" t="inlineStr">
        <is>
          <t>Lanjutan</t>
        </is>
      </c>
      <c r="G69" s="16" t="inlineStr">
        <is>
          <t>Tinggi</t>
        </is>
      </c>
      <c r="H69" s="16" t="inlineStr">
        <is>
          <t>Tidak</t>
        </is>
      </c>
      <c r="I69" s="16" t="inlineStr">
        <is>
          <t>Belum</t>
        </is>
      </c>
      <c r="J69" s="12" t="inlineStr">
        <is>
          <t>-</t>
        </is>
      </c>
    </row>
    <row r="70">
      <c r="A70" s="16" t="inlineStr">
        <is>
          <t>7.7</t>
        </is>
      </c>
      <c r="B70" s="12" t="inlineStr">
        <is>
          <t>Fase 7 - Duplikasi &amp; Produksi</t>
        </is>
      </c>
      <c r="C70" s="12" t="inlineStr">
        <is>
          <t>Revisi panduan berdasarkan temuan unit ke-2</t>
        </is>
      </c>
      <c r="D70" s="12" t="inlineStr">
        <is>
          <t>Panduan versi 2 yang sudah teruji</t>
        </is>
      </c>
      <c r="E70" s="6" t="n">
        <v>2</v>
      </c>
      <c r="F70" s="16" t="inlineStr">
        <is>
          <t>Lanjutan</t>
        </is>
      </c>
      <c r="G70" s="16" t="inlineStr">
        <is>
          <t>Tinggi</t>
        </is>
      </c>
      <c r="H70" s="16" t="inlineStr">
        <is>
          <t>Tidak</t>
        </is>
      </c>
      <c r="I70" s="16" t="inlineStr">
        <is>
          <t>Belum</t>
        </is>
      </c>
      <c r="J70" s="12" t="inlineStr">
        <is>
          <t>-</t>
        </is>
      </c>
    </row>
    <row r="71">
      <c r="A71" s="16" t="inlineStr">
        <is>
          <t>7.8</t>
        </is>
      </c>
      <c r="B71" s="12" t="inlineStr">
        <is>
          <t>Fase 7 - Duplikasi &amp; Produksi</t>
        </is>
      </c>
      <c r="C71" s="12" t="inlineStr">
        <is>
          <t>Evaluasi ganti L298N -&gt; BTS7960</t>
        </is>
      </c>
      <c r="D71" s="12" t="inlineStr">
        <is>
          <t>L298N buang 2-2,5 V dan tanpa proteksi arus</t>
        </is>
      </c>
      <c r="E71" s="6" t="n">
        <v>2</v>
      </c>
      <c r="F71" s="16" t="inlineStr">
        <is>
          <t>Lanjutan</t>
        </is>
      </c>
      <c r="G71" s="16" t="inlineStr">
        <is>
          <t>Sedang</t>
        </is>
      </c>
      <c r="H71" s="16" t="inlineStr">
        <is>
          <t>Tidak</t>
        </is>
      </c>
      <c r="I71" s="16" t="inlineStr">
        <is>
          <t>Belum</t>
        </is>
      </c>
      <c r="J71" s="12" t="inlineStr">
        <is>
          <t>README.md</t>
        </is>
      </c>
    </row>
    <row r="72">
      <c r="A72" s="16" t="inlineStr">
        <is>
          <t>7.9</t>
        </is>
      </c>
      <c r="B72" s="12" t="inlineStr">
        <is>
          <t>Fase 7 - Duplikasi &amp; Produksi</t>
        </is>
      </c>
      <c r="C72" s="12" t="inlineStr">
        <is>
          <t>Evaluasi PCB custom pengganti kabel jumper</t>
        </is>
      </c>
      <c r="D72" s="12" t="inlineStr">
        <is>
          <t>Keandalan naik, waktu rakit turun drastis</t>
        </is>
      </c>
      <c r="E72" s="6" t="n">
        <v>4</v>
      </c>
      <c r="F72" s="16" t="inlineStr">
        <is>
          <t>Lanjutan</t>
        </is>
      </c>
      <c r="G72" s="16" t="inlineStr">
        <is>
          <t>Rendah</t>
        </is>
      </c>
      <c r="H72" s="16" t="inlineStr">
        <is>
          <t>Tidak</t>
        </is>
      </c>
      <c r="I72" s="16" t="inlineStr">
        <is>
          <t>Belum</t>
        </is>
      </c>
      <c r="J72" s="12" t="inlineStr">
        <is>
          <t>-</t>
        </is>
      </c>
    </row>
    <row r="73">
      <c r="A73" s="16" t="inlineStr">
        <is>
          <t>7.10</t>
        </is>
      </c>
      <c r="B73" s="12" t="inlineStr">
        <is>
          <t>Fase 7 - Duplikasi &amp; Produksi</t>
        </is>
      </c>
      <c r="C73" s="12" t="inlineStr">
        <is>
          <t>Evaluasi baterai lebih besar</t>
        </is>
      </c>
      <c r="D73" s="12" t="inlineStr">
        <is>
          <t>Target runtime &gt; 15 menit (sekarang 5-8 menit)</t>
        </is>
      </c>
      <c r="E73" s="6" t="n">
        <v>1</v>
      </c>
      <c r="F73" s="16" t="inlineStr">
        <is>
          <t>Lanjutan</t>
        </is>
      </c>
      <c r="G73" s="16" t="inlineStr">
        <is>
          <t>Sedang</t>
        </is>
      </c>
      <c r="H73" s="16" t="inlineStr">
        <is>
          <t>Tidak</t>
        </is>
      </c>
      <c r="I73" s="16" t="inlineStr">
        <is>
          <t>Belum</t>
        </is>
      </c>
      <c r="J73" s="12" t="inlineStr">
        <is>
          <t>wiring 2</t>
        </is>
      </c>
    </row>
    <row r="74">
      <c r="A74" s="16" t="inlineStr">
        <is>
          <t>7.11</t>
        </is>
      </c>
      <c r="B74" s="12" t="inlineStr">
        <is>
          <t>Fase 7 - Duplikasi &amp; Produksi</t>
        </is>
      </c>
      <c r="C74" s="12" t="inlineStr">
        <is>
          <t>Buat template config per unit</t>
        </is>
      </c>
      <c r="D74" s="12" t="inlineStr">
        <is>
          <t>unit-1.yaml, unit-2.yaml siap pakai</t>
        </is>
      </c>
      <c r="E74" s="6" t="n">
        <v>1</v>
      </c>
      <c r="F74" s="16" t="inlineStr">
        <is>
          <t>Lanjutan</t>
        </is>
      </c>
      <c r="G74" s="16" t="inlineStr">
        <is>
          <t>Rendah</t>
        </is>
      </c>
      <c r="H74" s="16" t="inlineStr">
        <is>
          <t>Tidak</t>
        </is>
      </c>
      <c r="I74" s="16" t="inlineStr">
        <is>
          <t>Belum</t>
        </is>
      </c>
      <c r="J74" s="12" t="inlineStr">
        <is>
          <t>-</t>
        </is>
      </c>
    </row>
    <row r="75">
      <c r="D75" s="20" t="inlineStr">
        <is>
          <t>TOTAL JAM</t>
        </is>
      </c>
      <c r="E75" s="21">
        <f>SUM(E5:E74)</f>
        <v/>
      </c>
    </row>
  </sheetData>
  <autoFilter ref="A4:J74"/>
  <mergeCells count="1">
    <mergeCell ref="A2:J2"/>
  </mergeCells>
  <conditionalFormatting sqref="I5:I74">
    <cfRule type="cellIs" priority="1" operator="equal" dxfId="0">
      <formula>"Selesai"</formula>
    </cfRule>
    <cfRule type="cellIs" priority="2" operator="equal" dxfId="1">
      <formula>"Sedang jalan"</formula>
    </cfRule>
  </conditionalFormatting>
  <dataValidations count="1">
    <dataValidation sqref="I5:I74" showDropDown="0" showInputMessage="0" showErrorMessage="0" allowBlank="0" type="list">
      <formula1>"Belum,Sedang jalan,Selesai"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9" customWidth="1" min="7" max="7"/>
  </cols>
  <sheetData>
    <row r="1">
      <c r="A1" s="1" t="inlineStr">
        <is>
          <t>Timeline - estimasi jam per fase per hari</t>
        </is>
      </c>
    </row>
    <row r="2" ht="74" customHeight="1">
      <c r="A2" s="15" t="inlineStr">
        <is>
          <t>Angka = total jam tugas fase itu yang dijadwalkan di hari tersebut. Hari bersifat relatif, bukan tanggal. D0 = pekerjaan yang sudah selesai.
TARGET 3 HARI mencakup Fase 1-5, yaitu jalur menuju mobil yang berfungsi dan teruji (21,4 jam, sekitar 7 jam per hari). Fase 6 (finalisasi) dan Fase 7 (duplikasi) berjumlah 35 jam dan sengaja TIDAK dipaksa masuk ke 3 hari itu - memadatkan semuanya berarti sekitar 19 jam per hari. Keduanya ditandai 'Lanjutan' karena memang pekerjaan setelah unit pertama terbukti jalan.</t>
        </is>
      </c>
    </row>
    <row r="4">
      <c r="A4" s="11" t="inlineStr">
        <is>
          <t>Fase</t>
        </is>
      </c>
      <c r="B4" s="22" t="inlineStr">
        <is>
          <t>D0</t>
        </is>
      </c>
      <c r="C4" s="22" t="inlineStr">
        <is>
          <t>D1</t>
        </is>
      </c>
      <c r="D4" s="22" t="inlineStr">
        <is>
          <t>D2</t>
        </is>
      </c>
      <c r="E4" s="22" t="inlineStr">
        <is>
          <t>D3</t>
        </is>
      </c>
      <c r="F4" s="22" t="inlineStr">
        <is>
          <t>Lanjutan</t>
        </is>
      </c>
      <c r="G4" s="22" t="inlineStr">
        <is>
          <t>Total</t>
        </is>
      </c>
    </row>
    <row r="5">
      <c r="A5" s="12" t="inlineStr">
        <is>
          <t>Fase 0 - Verifikasi Meja</t>
        </is>
      </c>
      <c r="B5" s="23">
        <f>SUMIFS(ToDo!$E$5:$E$74,ToDo!$B$5:$B$74,$A5,ToDo!$F$5:$F$74,B$4)</f>
        <v/>
      </c>
      <c r="C5" s="23">
        <f>SUMIFS(ToDo!$E$5:$E$74,ToDo!$B$5:$B$74,$A5,ToDo!$F$5:$F$74,C$4)</f>
        <v/>
      </c>
      <c r="D5" s="23">
        <f>SUMIFS(ToDo!$E$5:$E$74,ToDo!$B$5:$B$74,$A5,ToDo!$F$5:$F$74,D$4)</f>
        <v/>
      </c>
      <c r="E5" s="23">
        <f>SUMIFS(ToDo!$E$5:$E$74,ToDo!$B$5:$B$74,$A5,ToDo!$F$5:$F$74,E$4)</f>
        <v/>
      </c>
      <c r="F5" s="23">
        <f>SUMIFS(ToDo!$E$5:$E$74,ToDo!$B$5:$B$74,$A5,ToDo!$F$5:$F$74,F$4)</f>
        <v/>
      </c>
      <c r="G5" s="21">
        <f>SUM(B5:F5)</f>
        <v/>
      </c>
    </row>
    <row r="6">
      <c r="A6" s="12" t="inlineStr">
        <is>
          <t>Fase 1 - Wiring &amp; Daya</t>
        </is>
      </c>
      <c r="B6" s="23">
        <f>SUMIFS(ToDo!$E$5:$E$74,ToDo!$B$5:$B$74,$A6,ToDo!$F$5:$F$74,B$4)</f>
        <v/>
      </c>
      <c r="C6" s="23">
        <f>SUMIFS(ToDo!$E$5:$E$74,ToDo!$B$5:$B$74,$A6,ToDo!$F$5:$F$74,C$4)</f>
        <v/>
      </c>
      <c r="D6" s="23">
        <f>SUMIFS(ToDo!$E$5:$E$74,ToDo!$B$5:$B$74,$A6,ToDo!$F$5:$F$74,D$4)</f>
        <v/>
      </c>
      <c r="E6" s="23">
        <f>SUMIFS(ToDo!$E$5:$E$74,ToDo!$B$5:$B$74,$A6,ToDo!$F$5:$F$74,E$4)</f>
        <v/>
      </c>
      <c r="F6" s="23">
        <f>SUMIFS(ToDo!$E$5:$E$74,ToDo!$B$5:$B$74,$A6,ToDo!$F$5:$F$74,F$4)</f>
        <v/>
      </c>
      <c r="G6" s="21">
        <f>SUM(B6:F6)</f>
        <v/>
      </c>
    </row>
    <row r="7">
      <c r="A7" s="12" t="inlineStr">
        <is>
          <t>Fase 2 - Flash &amp; Bench</t>
        </is>
      </c>
      <c r="B7" s="23">
        <f>SUMIFS(ToDo!$E$5:$E$74,ToDo!$B$5:$B$74,$A7,ToDo!$F$5:$F$74,B$4)</f>
        <v/>
      </c>
      <c r="C7" s="23">
        <f>SUMIFS(ToDo!$E$5:$E$74,ToDo!$B$5:$B$74,$A7,ToDo!$F$5:$F$74,C$4)</f>
        <v/>
      </c>
      <c r="D7" s="23">
        <f>SUMIFS(ToDo!$E$5:$E$74,ToDo!$B$5:$B$74,$A7,ToDo!$F$5:$F$74,D$4)</f>
        <v/>
      </c>
      <c r="E7" s="23">
        <f>SUMIFS(ToDo!$E$5:$E$74,ToDo!$B$5:$B$74,$A7,ToDo!$F$5:$F$74,E$4)</f>
        <v/>
      </c>
      <c r="F7" s="23">
        <f>SUMIFS(ToDo!$E$5:$E$74,ToDo!$B$5:$B$74,$A7,ToDo!$F$5:$F$74,F$4)</f>
        <v/>
      </c>
      <c r="G7" s="21">
        <f>SUM(B7:F7)</f>
        <v/>
      </c>
    </row>
    <row r="8">
      <c r="A8" s="12" t="inlineStr">
        <is>
          <t>Fase 3 - Failsafe &amp; Integrasi</t>
        </is>
      </c>
      <c r="B8" s="23">
        <f>SUMIFS(ToDo!$E$5:$E$74,ToDo!$B$5:$B$74,$A8,ToDo!$F$5:$F$74,B$4)</f>
        <v/>
      </c>
      <c r="C8" s="23">
        <f>SUMIFS(ToDo!$E$5:$E$74,ToDo!$B$5:$B$74,$A8,ToDo!$F$5:$F$74,C$4)</f>
        <v/>
      </c>
      <c r="D8" s="23">
        <f>SUMIFS(ToDo!$E$5:$E$74,ToDo!$B$5:$B$74,$A8,ToDo!$F$5:$F$74,D$4)</f>
        <v/>
      </c>
      <c r="E8" s="23">
        <f>SUMIFS(ToDo!$E$5:$E$74,ToDo!$B$5:$B$74,$A8,ToDo!$F$5:$F$74,E$4)</f>
        <v/>
      </c>
      <c r="F8" s="23">
        <f>SUMIFS(ToDo!$E$5:$E$74,ToDo!$B$5:$B$74,$A8,ToDo!$F$5:$F$74,F$4)</f>
        <v/>
      </c>
      <c r="G8" s="21">
        <f>SUM(B8:F8)</f>
        <v/>
      </c>
    </row>
    <row r="9">
      <c r="A9" s="12" t="inlineStr">
        <is>
          <t>Fase 4 - Uji Lantai &amp; Tuning</t>
        </is>
      </c>
      <c r="B9" s="23">
        <f>SUMIFS(ToDo!$E$5:$E$74,ToDo!$B$5:$B$74,$A9,ToDo!$F$5:$F$74,B$4)</f>
        <v/>
      </c>
      <c r="C9" s="23">
        <f>SUMIFS(ToDo!$E$5:$E$74,ToDo!$B$5:$B$74,$A9,ToDo!$F$5:$F$74,C$4)</f>
        <v/>
      </c>
      <c r="D9" s="23">
        <f>SUMIFS(ToDo!$E$5:$E$74,ToDo!$B$5:$B$74,$A9,ToDo!$F$5:$F$74,D$4)</f>
        <v/>
      </c>
      <c r="E9" s="23">
        <f>SUMIFS(ToDo!$E$5:$E$74,ToDo!$B$5:$B$74,$A9,ToDo!$F$5:$F$74,E$4)</f>
        <v/>
      </c>
      <c r="F9" s="23">
        <f>SUMIFS(ToDo!$E$5:$E$74,ToDo!$B$5:$B$74,$A9,ToDo!$F$5:$F$74,F$4)</f>
        <v/>
      </c>
      <c r="G9" s="21">
        <f>SUM(B9:F9)</f>
        <v/>
      </c>
    </row>
    <row r="10">
      <c r="A10" s="12" t="inlineStr">
        <is>
          <t>Fase 5 - Pindah ke LattePanda</t>
        </is>
      </c>
      <c r="B10" s="23">
        <f>SUMIFS(ToDo!$E$5:$E$74,ToDo!$B$5:$B$74,$A10,ToDo!$F$5:$F$74,B$4)</f>
        <v/>
      </c>
      <c r="C10" s="23">
        <f>SUMIFS(ToDo!$E$5:$E$74,ToDo!$B$5:$B$74,$A10,ToDo!$F$5:$F$74,C$4)</f>
        <v/>
      </c>
      <c r="D10" s="23">
        <f>SUMIFS(ToDo!$E$5:$E$74,ToDo!$B$5:$B$74,$A10,ToDo!$F$5:$F$74,D$4)</f>
        <v/>
      </c>
      <c r="E10" s="23">
        <f>SUMIFS(ToDo!$E$5:$E$74,ToDo!$B$5:$B$74,$A10,ToDo!$F$5:$F$74,E$4)</f>
        <v/>
      </c>
      <c r="F10" s="23">
        <f>SUMIFS(ToDo!$E$5:$E$74,ToDo!$B$5:$B$74,$A10,ToDo!$F$5:$F$74,F$4)</f>
        <v/>
      </c>
      <c r="G10" s="21">
        <f>SUM(B10:F10)</f>
        <v/>
      </c>
    </row>
    <row r="11">
      <c r="A11" s="12" t="inlineStr">
        <is>
          <t>Fase 6 - Finalisasi</t>
        </is>
      </c>
      <c r="B11" s="23">
        <f>SUMIFS(ToDo!$E$5:$E$74,ToDo!$B$5:$B$74,$A11,ToDo!$F$5:$F$74,B$4)</f>
        <v/>
      </c>
      <c r="C11" s="23">
        <f>SUMIFS(ToDo!$E$5:$E$74,ToDo!$B$5:$B$74,$A11,ToDo!$F$5:$F$74,C$4)</f>
        <v/>
      </c>
      <c r="D11" s="23">
        <f>SUMIFS(ToDo!$E$5:$E$74,ToDo!$B$5:$B$74,$A11,ToDo!$F$5:$F$74,D$4)</f>
        <v/>
      </c>
      <c r="E11" s="23">
        <f>SUMIFS(ToDo!$E$5:$E$74,ToDo!$B$5:$B$74,$A11,ToDo!$F$5:$F$74,E$4)</f>
        <v/>
      </c>
      <c r="F11" s="23">
        <f>SUMIFS(ToDo!$E$5:$E$74,ToDo!$B$5:$B$74,$A11,ToDo!$F$5:$F$74,F$4)</f>
        <v/>
      </c>
      <c r="G11" s="21">
        <f>SUM(B11:F11)</f>
        <v/>
      </c>
    </row>
    <row r="12">
      <c r="A12" s="12" t="inlineStr">
        <is>
          <t>Fase 7 - Duplikasi &amp; Produksi</t>
        </is>
      </c>
      <c r="B12" s="23">
        <f>SUMIFS(ToDo!$E$5:$E$74,ToDo!$B$5:$B$74,$A12,ToDo!$F$5:$F$74,B$4)</f>
        <v/>
      </c>
      <c r="C12" s="23">
        <f>SUMIFS(ToDo!$E$5:$E$74,ToDo!$B$5:$B$74,$A12,ToDo!$F$5:$F$74,C$4)</f>
        <v/>
      </c>
      <c r="D12" s="23">
        <f>SUMIFS(ToDo!$E$5:$E$74,ToDo!$B$5:$B$74,$A12,ToDo!$F$5:$F$74,D$4)</f>
        <v/>
      </c>
      <c r="E12" s="23">
        <f>SUMIFS(ToDo!$E$5:$E$74,ToDo!$B$5:$B$74,$A12,ToDo!$F$5:$F$74,E$4)</f>
        <v/>
      </c>
      <c r="F12" s="23">
        <f>SUMIFS(ToDo!$E$5:$E$74,ToDo!$B$5:$B$74,$A12,ToDo!$F$5:$F$74,F$4)</f>
        <v/>
      </c>
      <c r="G12" s="21">
        <f>SUM(B12:F12)</f>
        <v/>
      </c>
    </row>
    <row r="13">
      <c r="A13" s="8" t="inlineStr">
        <is>
          <t>TOTAL / HARI</t>
        </is>
      </c>
      <c r="B13" s="24">
        <f>SUM(B5:B12)</f>
        <v/>
      </c>
      <c r="C13" s="24">
        <f>SUM(C5:C12)</f>
        <v/>
      </c>
      <c r="D13" s="24">
        <f>SUM(D5:D12)</f>
        <v/>
      </c>
      <c r="E13" s="24">
        <f>SUM(E5:E12)</f>
        <v/>
      </c>
      <c r="F13" s="24">
        <f>SUM(F5:F12)</f>
        <v/>
      </c>
      <c r="G13" s="24">
        <f>SUM(G5:G12)</f>
        <v/>
      </c>
    </row>
  </sheetData>
  <mergeCells count="1">
    <mergeCell ref="A2:G2"/>
  </mergeCells>
  <conditionalFormatting sqref="B5:F12">
    <cfRule type="cellIs" priority="1" operator="greaterThan" dxfId="2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8" customWidth="1" min="3" max="3"/>
    <col width="14" customWidth="1" min="4" max="4"/>
    <col width="17" customWidth="1" min="5" max="5"/>
    <col width="17" customWidth="1" min="6" max="6"/>
    <col width="34" customWidth="1" min="7" max="7"/>
  </cols>
  <sheetData>
    <row r="1">
      <c r="A1" s="1" t="inlineStr">
        <is>
          <t>Komponen - checklist &amp; BOM</t>
        </is>
      </c>
    </row>
    <row r="2" ht="30" customHeight="1">
      <c r="A2" s="15" t="inlineStr">
        <is>
          <t>Kolom Harga Satuan berwarna kuning: isi sendiri sesuai harga di tempat Anda. Subtotal dan Total dihitung otomatis. Angka harga sengaja dikosongkan - saya tidak punya sumber harga yang bisa dipertanggungjawabkan.</t>
        </is>
      </c>
    </row>
    <row r="4">
      <c r="A4" s="11" t="inlineStr">
        <is>
          <t>Komponen</t>
        </is>
      </c>
      <c r="B4" s="11" t="inlineStr">
        <is>
          <t>Spesifikasi</t>
        </is>
      </c>
      <c r="C4" s="11" t="inlineStr">
        <is>
          <t>Jumlah</t>
        </is>
      </c>
      <c r="D4" s="11" t="inlineStr">
        <is>
          <t>Status</t>
        </is>
      </c>
      <c r="E4" s="11" t="inlineStr">
        <is>
          <t>Harga Satuan (Rp)</t>
        </is>
      </c>
      <c r="F4" s="11" t="inlineStr">
        <is>
          <t>Subtotal (Rp)</t>
        </is>
      </c>
      <c r="G4" s="11" t="inlineStr">
        <is>
          <t>Catatan</t>
        </is>
      </c>
    </row>
    <row r="5">
      <c r="A5" s="12" t="inlineStr">
        <is>
          <t>LattePanda</t>
        </is>
      </c>
      <c r="B5" s="12" t="inlineStr">
        <is>
          <t>Ground station</t>
        </is>
      </c>
      <c r="C5" s="16" t="n">
        <v>1</v>
      </c>
      <c r="D5" s="16" t="inlineStr">
        <is>
          <t>Sudah punya</t>
        </is>
      </c>
      <c r="E5" s="25" t="n"/>
      <c r="F5" s="26">
        <f>IFERROR(C5*E5,0)</f>
        <v/>
      </c>
      <c r="G5" s="12" t="inlineStr">
        <is>
          <t>Tempat stir PXN dicolok</t>
        </is>
      </c>
    </row>
    <row r="6">
      <c r="A6" s="12" t="inlineStr">
        <is>
          <t>Stir PXN V9 (V9GEN2) + pedal</t>
        </is>
      </c>
      <c r="B6" s="12" t="inlineStr">
        <is>
          <t>H-pattern shifter 6 gigi + R</t>
        </is>
      </c>
      <c r="C6" s="16" t="n">
        <v>1</v>
      </c>
      <c r="D6" s="16" t="inlineStr">
        <is>
          <t>Sudah punya</t>
        </is>
      </c>
      <c r="E6" s="25" t="n"/>
      <c r="F6" s="26">
        <f>IFERROR(C6*E6,0)</f>
        <v/>
      </c>
      <c r="G6" s="12" t="inlineStr">
        <is>
          <t>Sudah dikalibrasi</t>
        </is>
      </c>
    </row>
    <row r="7">
      <c r="A7" s="12" t="inlineStr">
        <is>
          <t>ESP32 Dev Module</t>
        </is>
      </c>
      <c r="B7" s="12" t="inlineStr">
        <is>
          <t>38 pin</t>
        </is>
      </c>
      <c r="C7" s="16" t="n">
        <v>1</v>
      </c>
      <c r="D7" s="16" t="inlineStr">
        <is>
          <t>Sudah punya</t>
        </is>
      </c>
      <c r="E7" s="25" t="n"/>
      <c r="F7" s="26">
        <f>IFERROR(C7*E7,0)</f>
        <v/>
      </c>
      <c r="G7" s="12" t="inlineStr">
        <is>
          <t>Otak mobil</t>
        </is>
      </c>
    </row>
    <row r="8">
      <c r="A8" s="12" t="inlineStr">
        <is>
          <t>Seeed XIAO ESP32S3 Sense</t>
        </is>
      </c>
      <c r="B8" s="12" t="inlineStr">
        <is>
          <t>dengan papan kamera + antena u.FL</t>
        </is>
      </c>
      <c r="C8" s="16" t="n">
        <v>1</v>
      </c>
      <c r="D8" s="16" t="inlineStr">
        <is>
          <t>Sudah punya</t>
        </is>
      </c>
      <c r="E8" s="25" t="n"/>
      <c r="F8" s="26">
        <f>IFERROR(C8*E8,0)</f>
        <v/>
      </c>
      <c r="G8" s="12" t="inlineStr">
        <is>
          <t>Kamera FPV</t>
        </is>
      </c>
    </row>
    <row r="9">
      <c r="A9" s="12" t="inlineStr">
        <is>
          <t>L298N</t>
        </is>
      </c>
      <c r="B9" s="12" t="inlineStr">
        <is>
          <t>modul driver motor</t>
        </is>
      </c>
      <c r="C9" s="16" t="n">
        <v>1</v>
      </c>
      <c r="D9" s="16" t="inlineStr">
        <is>
          <t>Sudah punya</t>
        </is>
      </c>
      <c r="E9" s="25" t="n"/>
      <c r="F9" s="26">
        <f>IFERROR(C9*E9,0)</f>
        <v/>
      </c>
      <c r="G9" s="12" t="inlineStr">
        <is>
          <t>Lepas jumper ENA dan 5V</t>
        </is>
      </c>
    </row>
    <row r="10">
      <c r="A10" s="12" t="inlineStr">
        <is>
          <t>Servo digital 25g</t>
        </is>
      </c>
      <c r="B10" s="12" t="inlineStr">
        <is>
          <t>stall ~1-1,5 A</t>
        </is>
      </c>
      <c r="C10" s="16" t="n">
        <v>1</v>
      </c>
      <c r="D10" s="16" t="inlineStr">
        <is>
          <t>Sudah punya</t>
        </is>
      </c>
      <c r="E10" s="25" t="n"/>
      <c r="F10" s="26">
        <f>IFERROR(C10*E10,0)</f>
        <v/>
      </c>
      <c r="G10" s="12" t="inlineStr">
        <is>
          <t>Kemudi, sinyal ke GPIO 13</t>
        </is>
      </c>
    </row>
    <row r="11">
      <c r="A11" s="12" t="inlineStr">
        <is>
          <t>Motor DC belakang</t>
        </is>
      </c>
      <c r="B11" s="12" t="inlineStr">
        <is>
          <t>12 V</t>
        </is>
      </c>
      <c r="C11" s="16" t="n">
        <v>1</v>
      </c>
      <c r="D11" s="16" t="inlineStr">
        <is>
          <t>Sudah punya</t>
        </is>
      </c>
      <c r="E11" s="25" t="n"/>
      <c r="F11" s="26">
        <f>IFERROR(C11*E11,0)</f>
        <v/>
      </c>
      <c r="G11" s="12" t="inlineStr">
        <is>
          <t>Lewat OUT1/OUT2</t>
        </is>
      </c>
    </row>
    <row r="12">
      <c r="A12" s="12" t="inlineStr">
        <is>
          <t>LiPo 4S 850 mAh</t>
        </is>
      </c>
      <c r="B12" s="12" t="inlineStr">
        <is>
          <t>14,8 V nominal</t>
        </is>
      </c>
      <c r="C12" s="16" t="n">
        <v>1</v>
      </c>
      <c r="D12" s="16" t="inlineStr">
        <is>
          <t>Sudah punya</t>
        </is>
      </c>
      <c r="E12" s="25" t="n"/>
      <c r="F12" s="26">
        <f>IFERROR(C12*E12,0)</f>
        <v/>
      </c>
      <c r="G12" s="12" t="inlineStr">
        <is>
          <t>Runtime 5-8 menit</t>
        </is>
      </c>
    </row>
    <row r="13">
      <c r="A13" s="12" t="inlineStr">
        <is>
          <t>Step-down #1</t>
        </is>
      </c>
      <c r="B13" s="12" t="inlineStr">
        <is>
          <t>4S -&gt; 12 V, &gt;= 3 A (XL4015/LM2596)</t>
        </is>
      </c>
      <c r="C13" s="16" t="n">
        <v>1</v>
      </c>
      <c r="D13" s="16" t="inlineStr">
        <is>
          <t>Perlu dicek</t>
        </is>
      </c>
      <c r="E13" s="25" t="n"/>
      <c r="F13" s="26">
        <f>IFERROR(C13*E13,0)</f>
        <v/>
      </c>
      <c r="G13" s="12" t="inlineStr">
        <is>
          <t>Catu motor</t>
        </is>
      </c>
    </row>
    <row r="14">
      <c r="A14" s="12" t="inlineStr">
        <is>
          <t>Step-down #2</t>
        </is>
      </c>
      <c r="B14" s="12" t="inlineStr">
        <is>
          <t>4S -&gt; 5 V, &gt;= 3 A</t>
        </is>
      </c>
      <c r="C14" s="16" t="n">
        <v>1</v>
      </c>
      <c r="D14" s="16" t="inlineStr">
        <is>
          <t>Perlu dicek</t>
        </is>
      </c>
      <c r="E14" s="25" t="n"/>
      <c r="F14" s="26">
        <f>IFERROR(C14*E14,0)</f>
        <v/>
      </c>
      <c r="G14" s="12" t="inlineStr">
        <is>
          <t>Servo + kedua ESP32</t>
        </is>
      </c>
    </row>
    <row r="15">
      <c r="A15" s="12" t="inlineStr">
        <is>
          <t>Elko 1000uF / 25V</t>
        </is>
      </c>
      <c r="B15" s="12" t="inlineStr">
        <is>
          <t>low-ESR</t>
        </is>
      </c>
      <c r="C15" s="16" t="n">
        <v>1</v>
      </c>
      <c r="D15" s="16" t="inlineStr">
        <is>
          <t>Perlu dicek</t>
        </is>
      </c>
      <c r="E15" s="25" t="n"/>
      <c r="F15" s="26">
        <f>IFERROR(C15*E15,0)</f>
        <v/>
      </c>
      <c r="G15" s="12" t="inlineStr">
        <is>
          <t>Di jalur 5V servo - WAJIB</t>
        </is>
      </c>
    </row>
    <row r="16">
      <c r="A16" s="12" t="inlineStr">
        <is>
          <t>Elko 470uF / 16V</t>
        </is>
      </c>
      <c r="B16" s="12" t="inlineStr">
        <is>
          <t>low-ESR</t>
        </is>
      </c>
      <c r="C16" s="16" t="n">
        <v>1</v>
      </c>
      <c r="D16" s="16" t="inlineStr">
        <is>
          <t>Perlu dicek</t>
        </is>
      </c>
      <c r="E16" s="25" t="n"/>
      <c r="F16" s="26">
        <f>IFERROR(C16*E16,0)</f>
        <v/>
      </c>
      <c r="G16" s="12" t="inlineStr">
        <is>
          <t>Di 5V kamera - WAJIB</t>
        </is>
      </c>
    </row>
    <row r="17">
      <c r="A17" s="12" t="inlineStr">
        <is>
          <t>Elko 470uF / 25V</t>
        </is>
      </c>
      <c r="B17" s="12" t="inlineStr">
        <is>
          <t>low-ESR</t>
        </is>
      </c>
      <c r="C17" s="16" t="n">
        <v>1</v>
      </c>
      <c r="D17" s="16" t="inlineStr">
        <is>
          <t>Perlu dicek</t>
        </is>
      </c>
      <c r="E17" s="25" t="n"/>
      <c r="F17" s="26">
        <f>IFERROR(C17*E17,0)</f>
        <v/>
      </c>
      <c r="G17" s="12" t="inlineStr">
        <is>
          <t>Di Vs L298N</t>
        </is>
      </c>
    </row>
    <row r="18">
      <c r="A18" s="12" t="inlineStr">
        <is>
          <t>Kapasitor keramik 100nF</t>
        </is>
      </c>
      <c r="B18" s="12" t="inlineStr">
        <is>
          <t>-</t>
        </is>
      </c>
      <c r="C18" s="16" t="n">
        <v>5</v>
      </c>
      <c r="D18" s="16" t="inlineStr">
        <is>
          <t>Perlu dicek</t>
        </is>
      </c>
      <c r="E18" s="25" t="n"/>
      <c r="F18" s="26">
        <f>IFERROR(C18*E18,0)</f>
        <v/>
      </c>
      <c r="G18" s="12" t="inlineStr">
        <is>
          <t>3 di motor, sisanya bypass</t>
        </is>
      </c>
    </row>
    <row r="19">
      <c r="A19" s="12" t="inlineStr">
        <is>
          <t>Resistor 100k</t>
        </is>
      </c>
      <c r="B19" s="12" t="inlineStr">
        <is>
          <t>1% kalau ada</t>
        </is>
      </c>
      <c r="C19" s="16" t="n">
        <v>1</v>
      </c>
      <c r="D19" s="16" t="inlineStr">
        <is>
          <t>Perlu dicek</t>
        </is>
      </c>
      <c r="E19" s="25" t="n"/>
      <c r="F19" s="26">
        <f>IFERROR(C19*E19,0)</f>
        <v/>
      </c>
      <c r="G19" s="12" t="inlineStr">
        <is>
          <t>Pembagi tegangan baterai</t>
        </is>
      </c>
    </row>
    <row r="20">
      <c r="A20" s="12" t="inlineStr">
        <is>
          <t>Resistor 22k</t>
        </is>
      </c>
      <c r="B20" s="12" t="inlineStr">
        <is>
          <t>1% kalau ada</t>
        </is>
      </c>
      <c r="C20" s="16" t="n">
        <v>1</v>
      </c>
      <c r="D20" s="16" t="inlineStr">
        <is>
          <t>Perlu dicek</t>
        </is>
      </c>
      <c r="E20" s="25" t="n"/>
      <c r="F20" s="26">
        <f>IFERROR(C20*E20,0)</f>
        <v/>
      </c>
      <c r="G20" s="12" t="inlineStr">
        <is>
          <t>Pembagi tegangan baterai</t>
        </is>
      </c>
    </row>
    <row r="21">
      <c r="A21" s="12" t="inlineStr">
        <is>
          <t>Resistor 10k</t>
        </is>
      </c>
      <c r="B21" s="12" t="inlineStr">
        <is>
          <t>-</t>
        </is>
      </c>
      <c r="C21" s="16" t="n">
        <v>3</v>
      </c>
      <c r="D21" s="16" t="inlineStr">
        <is>
          <t>Perlu dicek</t>
        </is>
      </c>
      <c r="E21" s="25" t="n"/>
      <c r="F21" s="26">
        <f>IFERROR(C21*E21,0)</f>
        <v/>
      </c>
      <c r="G21" s="12" t="inlineStr">
        <is>
          <t>Pulldown ENA / IN1 / IN2</t>
        </is>
      </c>
    </row>
    <row r="22">
      <c r="A22" s="12" t="inlineStr">
        <is>
          <t>Alarm LiPo 4S</t>
        </is>
      </c>
      <c r="B22" s="12" t="inlineStr">
        <is>
          <t>buzzer per-sel</t>
        </is>
      </c>
      <c r="C22" s="16" t="n">
        <v>1</v>
      </c>
      <c r="D22" s="16" t="inlineStr">
        <is>
          <t>Perlu dicek</t>
        </is>
      </c>
      <c r="E22" s="25" t="n"/>
      <c r="F22" s="26">
        <f>IFERROR(C22*E22,0)</f>
        <v/>
      </c>
      <c r="G22" s="12" t="inlineStr">
        <is>
          <t>Peringatan tegangan mandiri</t>
        </is>
      </c>
    </row>
    <row r="23">
      <c r="A23" s="12" t="inlineStr">
        <is>
          <t>Kabel USB-C</t>
        </is>
      </c>
      <c r="B23" s="12" t="inlineStr">
        <is>
          <t>data, bukan charge-only</t>
        </is>
      </c>
      <c r="C23" s="16" t="n">
        <v>1</v>
      </c>
      <c r="D23" s="16" t="inlineStr">
        <is>
          <t>Perlu dicek</t>
        </is>
      </c>
      <c r="E23" s="25" t="n"/>
      <c r="F23" s="26">
        <f>IFERROR(C23*E23,0)</f>
        <v/>
      </c>
      <c r="G23" s="12" t="inlineStr">
        <is>
          <t>Flash XIAO</t>
        </is>
      </c>
    </row>
    <row r="24">
      <c r="A24" s="12" t="inlineStr">
        <is>
          <t>Kabel jumper + heat shrink</t>
        </is>
      </c>
      <c r="B24" s="12" t="inlineStr">
        <is>
          <t>-</t>
        </is>
      </c>
      <c r="C24" s="16" t="n">
        <v>1</v>
      </c>
      <c r="D24" s="16" t="inlineStr">
        <is>
          <t>Perlu dicek</t>
        </is>
      </c>
      <c r="E24" s="25" t="n"/>
      <c r="F24" s="26">
        <f>IFERROR(C24*E24,0)</f>
        <v/>
      </c>
      <c r="G24" s="12" t="inlineStr">
        <is>
          <t>Perakitan</t>
        </is>
      </c>
    </row>
    <row r="25">
      <c r="E25" s="20" t="inlineStr">
        <is>
          <t>TOTAL</t>
        </is>
      </c>
      <c r="F25" s="27">
        <f>SUM(F5:F24)</f>
        <v/>
      </c>
    </row>
  </sheetData>
  <mergeCells count="1"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34" customWidth="1" min="4" max="4"/>
    <col width="50" customWidth="1" min="5" max="5"/>
    <col width="14" customWidth="1" min="6" max="6"/>
  </cols>
  <sheetData>
    <row r="1">
      <c r="A1" s="1" t="inlineStr">
        <is>
          <t>Risiko &amp; Mitigasi</t>
        </is>
      </c>
    </row>
    <row r="2">
      <c r="A2" s="2" t="inlineStr">
        <is>
          <t>Diurutkan dari yang paling mungkin menggagalkan uji coba pertama.</t>
        </is>
      </c>
    </row>
    <row r="4">
      <c r="A4" s="11" t="inlineStr">
        <is>
          <t>Risiko</t>
        </is>
      </c>
      <c r="B4" s="11" t="inlineStr">
        <is>
          <t>Kemungkinan</t>
        </is>
      </c>
      <c r="C4" s="11" t="inlineStr">
        <is>
          <t>Dampak</t>
        </is>
      </c>
      <c r="D4" s="11" t="inlineStr">
        <is>
          <t>Penyebab</t>
        </is>
      </c>
      <c r="E4" s="11" t="inlineStr">
        <is>
          <t>Mitigasi</t>
        </is>
      </c>
      <c r="F4" s="11" t="inlineStr">
        <is>
          <t>Tugas Terkait</t>
        </is>
      </c>
    </row>
    <row r="5">
      <c r="A5" s="12" t="inlineStr">
        <is>
          <t>Kamera reboot saat servo bergerak</t>
        </is>
      </c>
      <c r="B5" s="16" t="inlineStr">
        <is>
          <t>Tinggi</t>
        </is>
      </c>
      <c r="C5" s="16" t="inlineStr">
        <is>
          <t>Tinggi</t>
        </is>
      </c>
      <c r="D5" s="12" t="inlineStr">
        <is>
          <t>Rel 5V drop saat servo menyentak</t>
        </is>
      </c>
      <c r="E5" s="12" t="inlineStr">
        <is>
          <t>Elko 1000uF di servo + 470uF di kamera. Kalau tetap: step-down ketiga khusus ESP32</t>
        </is>
      </c>
      <c r="F5" s="16" t="inlineStr">
        <is>
          <t>1.10, 1.11, 3.3</t>
        </is>
      </c>
    </row>
    <row r="6">
      <c r="A6" s="12" t="inlineStr">
        <is>
          <t>Motor hanya mati / kencang penuh</t>
        </is>
      </c>
      <c r="B6" s="16" t="inlineStr">
        <is>
          <t>Sedang</t>
        </is>
      </c>
      <c r="C6" s="16" t="inlineStr">
        <is>
          <t>Tinggi</t>
        </is>
      </c>
      <c r="D6" s="12" t="inlineStr">
        <is>
          <t>Jumper ENA belum dilepas</t>
        </is>
      </c>
      <c r="E6" s="12" t="inlineStr">
        <is>
          <t>Lepas jumper ENA di L298N</t>
        </is>
      </c>
      <c r="F6" s="16" t="inlineStr">
        <is>
          <t>1.3</t>
        </is>
      </c>
    </row>
    <row r="7">
      <c r="A7" s="12" t="inlineStr">
        <is>
          <t>Servo tidak bergerak sama sekali</t>
        </is>
      </c>
      <c r="B7" s="16" t="inlineStr">
        <is>
          <t>Tinggi</t>
        </is>
      </c>
      <c r="C7" s="16" t="inlineStr">
        <is>
          <t>Tinggi</t>
        </is>
      </c>
      <c r="D7" s="12" t="inlineStr">
        <is>
          <t>Sinyal masih di GPIO 34 yang input-only</t>
        </is>
      </c>
      <c r="E7" s="12" t="inlineStr">
        <is>
          <t>Pindahkan kabel sinyal ke GPIO 13</t>
        </is>
      </c>
      <c r="F7" s="16" t="inlineStr">
        <is>
          <t>1.5</t>
        </is>
      </c>
    </row>
    <row r="8">
      <c r="A8" s="12" t="inlineStr">
        <is>
          <t>Kamera gagal init di XIAO</t>
        </is>
      </c>
      <c r="B8" s="16" t="inlineStr">
        <is>
          <t>Sedang</t>
        </is>
      </c>
      <c r="C8" s="16" t="inlineStr">
        <is>
          <t>Tinggi</t>
        </is>
      </c>
      <c r="D8" s="12" t="inlineStr">
        <is>
          <t>PSRAM masih Disabled, atau papan Sense kurang rapat</t>
        </is>
      </c>
      <c r="E8" s="12" t="inlineStr">
        <is>
          <t>Set PSRAM = OPI PSRAM; tekan papan Sense sampai bunyi klik</t>
        </is>
      </c>
      <c r="F8" s="16" t="inlineStr">
        <is>
          <t>2.4, 2.5</t>
        </is>
      </c>
    </row>
    <row r="9">
      <c r="A9" s="12" t="inlineStr">
        <is>
          <t>Mobil tidak ditemukan ground station</t>
        </is>
      </c>
      <c r="B9" s="16" t="inlineStr">
        <is>
          <t>Sedang</t>
        </is>
      </c>
      <c r="C9" s="16" t="inlineStr">
        <is>
          <t>Tinggi</t>
        </is>
      </c>
      <c r="D9" s="12" t="inlineStr">
        <is>
          <t>Subnet hotspot bukan 192.168.137.x</t>
        </is>
      </c>
      <c r="E9" s="12" t="inlineStr">
        <is>
          <t>Cek IP di Serial Monitor, sesuaikan config.h dan config.yaml</t>
        </is>
      </c>
      <c r="F9" s="16" t="inlineStr">
        <is>
          <t>2.3</t>
        </is>
      </c>
    </row>
    <row r="10">
      <c r="A10" s="12" t="inlineStr">
        <is>
          <t>Motor tidak berhenti saat sinyal putus</t>
        </is>
      </c>
      <c r="B10" s="16" t="inlineStr">
        <is>
          <t>Rendah</t>
        </is>
      </c>
      <c r="C10" s="16" t="inlineStr">
        <is>
          <t>Sangat tinggi</t>
        </is>
      </c>
      <c r="D10" s="12" t="inlineStr">
        <is>
          <t>Failsafe gagal - mobil bisa lari tak terkendali</t>
        </is>
      </c>
      <c r="E10" s="12" t="inlineStr">
        <is>
          <t>Uji 3.1 WAJIB lolos sebelum turun ke lantai</t>
        </is>
      </c>
      <c r="F10" s="16" t="inlineStr">
        <is>
          <t>3.1</t>
        </is>
      </c>
    </row>
    <row r="11">
      <c r="A11" s="12" t="inlineStr">
        <is>
          <t>Perilaku acak, servo bergetar sendiri</t>
        </is>
      </c>
      <c r="B11" s="16" t="inlineStr">
        <is>
          <t>Sedang</t>
        </is>
      </c>
      <c r="C11" s="16" t="inlineStr">
        <is>
          <t>Sedang</t>
        </is>
      </c>
      <c r="D11" s="12" t="inlineStr">
        <is>
          <t>Ground tidak menyatu di satu titik</t>
        </is>
      </c>
      <c r="E11" s="12" t="inlineStr">
        <is>
          <t>Star ground semua modul dekat terminal negatif baterai</t>
        </is>
      </c>
      <c r="F11" s="16" t="inlineStr">
        <is>
          <t>1.8</t>
        </is>
      </c>
    </row>
    <row r="12">
      <c r="A12" s="12" t="inlineStr">
        <is>
          <t>Video penuh garis / WiFi drop</t>
        </is>
      </c>
      <c r="B12" s="16" t="inlineStr">
        <is>
          <t>Sedang</t>
        </is>
      </c>
      <c r="C12" s="16" t="inlineStr">
        <is>
          <t>Sedang</t>
        </is>
      </c>
      <c r="D12" s="12" t="inlineStr">
        <is>
          <t>Noise percikan sikat motor</t>
        </is>
      </c>
      <c r="E12" s="12" t="inlineStr">
        <is>
          <t>3 keramik 100nF di badan motor; jauhkan kabel motor dari kamera</t>
        </is>
      </c>
      <c r="F12" s="16" t="inlineStr">
        <is>
          <t>1.12</t>
        </is>
      </c>
    </row>
    <row r="13">
      <c r="A13" s="12" t="inlineStr">
        <is>
          <t>Ping melonjak acak ratusan ms</t>
        </is>
      </c>
      <c r="B13" s="16" t="inlineStr">
        <is>
          <t>Rendah</t>
        </is>
      </c>
      <c r="C13" s="16" t="inlineStr">
        <is>
          <t>Sedang</t>
        </is>
      </c>
      <c r="D13" s="12" t="inlineStr">
        <is>
          <t>WiFi power save aktif</t>
        </is>
      </c>
      <c r="E13" s="12" t="inlineStr">
        <is>
          <t>Pastikan WiFi.setSleep(false) ada di kedua firmware</t>
        </is>
      </c>
      <c r="F13" s="16" t="inlineStr">
        <is>
          <t>3.4</t>
        </is>
      </c>
    </row>
    <row r="14">
      <c r="A14" s="12" t="inlineStr">
        <is>
          <t>Tegangan HUD tidak cocok multimeter</t>
        </is>
      </c>
      <c r="B14" s="16" t="inlineStr">
        <is>
          <t>Tinggi</t>
        </is>
      </c>
      <c r="C14" s="16" t="inlineStr">
        <is>
          <t>Rendah</t>
        </is>
      </c>
      <c r="D14" s="12" t="inlineStr">
        <is>
          <t>Toleransi resistor 5% - bisa meleset 0,8 V di 4S</t>
        </is>
      </c>
      <c r="E14" s="12" t="inlineStr">
        <is>
          <t>Kalibrasi VBAT_DIVIDER_RATIO</t>
        </is>
      </c>
      <c r="F14" s="16" t="inlineStr">
        <is>
          <t>2.7</t>
        </is>
      </c>
    </row>
    <row r="15">
      <c r="A15" s="12" t="inlineStr">
        <is>
          <t>Runtime terlalu pendek</t>
        </is>
      </c>
      <c r="B15" s="16" t="inlineStr">
        <is>
          <t>Tinggi</t>
        </is>
      </c>
      <c r="C15" s="16" t="inlineStr">
        <is>
          <t>Sedang</t>
        </is>
      </c>
      <c r="D15" s="12" t="inlineStr">
        <is>
          <t>4S 850 mAh memang kecil</t>
        </is>
      </c>
      <c r="E15" s="12" t="inlineStr">
        <is>
          <t>Batas kapasitas, bukan software. Perlu paket lebih besar</t>
        </is>
      </c>
      <c r="F15" s="16" t="inlineStr">
        <is>
          <t>4.6, 7.10</t>
        </is>
      </c>
    </row>
    <row r="16">
      <c r="A16" s="12" t="inlineStr">
        <is>
          <t>L298N kepanasan</t>
        </is>
      </c>
      <c r="B16" s="16" t="inlineStr">
        <is>
          <t>Sedang</t>
        </is>
      </c>
      <c r="C16" s="16" t="inlineStr">
        <is>
          <t>Sedang</t>
        </is>
      </c>
      <c r="D16" s="12" t="inlineStr">
        <is>
          <t>Buang 2-2,5 V, tanpa proteksi arus</t>
        </is>
      </c>
      <c r="E16" s="12" t="inlineStr">
        <is>
          <t>Cek suhu tiap uji. Untuk produksi pertimbangkan BTS7960</t>
        </is>
      </c>
      <c r="F16" s="16" t="inlineStr">
        <is>
          <t>2.14, 7.8</t>
        </is>
      </c>
    </row>
    <row r="17">
      <c r="A17" s="12" t="inlineStr">
        <is>
          <t>Servo rusak karena menahan di ujung</t>
        </is>
      </c>
      <c r="B17" s="16" t="inlineStr">
        <is>
          <t>Sedang</t>
        </is>
      </c>
      <c r="C17" s="16" t="inlineStr">
        <is>
          <t>Sedang</t>
        </is>
      </c>
      <c r="D17" s="12" t="inlineStr">
        <is>
          <t>SERVO_MIN/MAX_US terlalu lebar</t>
        </is>
      </c>
      <c r="E17" s="12" t="inlineStr">
        <is>
          <t>Setel bertahap 50us, berhenti begitu mendengung</t>
        </is>
      </c>
      <c r="F17" s="16" t="inlineStr">
        <is>
          <t>2.9</t>
        </is>
      </c>
    </row>
    <row r="18">
      <c r="A18" s="12" t="inlineStr">
        <is>
          <t>Enumerasi USB beda di LattePanda</t>
        </is>
      </c>
      <c r="B18" s="16" t="inlineStr">
        <is>
          <t>Sedang</t>
        </is>
      </c>
      <c r="C18" s="16" t="inlineStr">
        <is>
          <t>Rendah</t>
        </is>
      </c>
      <c r="D18" s="12" t="inlineStr">
        <is>
          <t>Indeks joystick berubah antar mesin</t>
        </is>
      </c>
      <c r="E18" s="12" t="inlineStr">
        <is>
          <t>Jalankan calibrate.py ulang di LattePanda</t>
        </is>
      </c>
      <c r="F18" s="16" t="inlineStr">
        <is>
          <t>5.4</t>
        </is>
      </c>
    </row>
  </sheetData>
  <conditionalFormatting sqref="B5:B18">
    <cfRule type="cellIs" priority="1" operator="equal" dxfId="3">
      <formula>"Sangat tinggi"</formula>
    </cfRule>
    <cfRule type="cellIs" priority="2" operator="equal" dxfId="4">
      <formula>"Tinggi"</formula>
    </cfRule>
    <cfRule type="cellIs" priority="3" operator="equal" dxfId="1">
      <formula>"Sedang"</formula>
    </cfRule>
  </conditionalFormatting>
  <conditionalFormatting sqref="C5:C18">
    <cfRule type="cellIs" priority="4" operator="equal" dxfId="3">
      <formula>"Sangat tinggi"</formula>
    </cfRule>
    <cfRule type="cellIs" priority="5" operator="equal" dxfId="4">
      <formula>"Tinggi"</formula>
    </cfRule>
    <cfRule type="cellIs" priority="6" operator="equal" dxfId="1">
      <formula>"Sedang"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2026-08-20T09:15:34Z</dcterms:created>
  <dcterms:modified xmlns:dcterms="http://purl.org/dc/terms/" xmlns:xsi="http://www.w3.org/2001/XMLSchema-instance" xsi:type="dcterms:W3CDTF">2026-08-20T09:15:34Z</dcterms:modified>
</cp:coreProperties>
</file>